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namedSheetViews/namedSheetView1.xml" ContentType="application/vnd.ms-excel.namedsheetview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roenecadans-my.sharepoint.com/personal/diego_galdino_groenecadans_nl/Documents/Documents/03. Diego/Financial Control/"/>
    </mc:Choice>
  </mc:AlternateContent>
  <xr:revisionPtr revIDLastSave="1819" documentId="8_{2597EF0C-11A0-420D-A7CC-FC8AD9B25F86}" xr6:coauthVersionLast="47" xr6:coauthVersionMax="47" xr10:uidLastSave="{D7744231-39ED-448F-8D8E-EC2F0E297D31}"/>
  <bookViews>
    <workbookView xWindow="4680" yWindow="4680" windowWidth="38700" windowHeight="15345" tabRatio="597" activeTab="4" xr2:uid="{A22E8EB6-A145-45B4-AFD0-D1623149D558}"/>
  </bookViews>
  <sheets>
    <sheet name="Dashboard" sheetId="7" r:id="rId1"/>
    <sheet name="Resumo" sheetId="4" r:id="rId2"/>
    <sheet name="Dados" sheetId="2" r:id="rId3"/>
    <sheet name="Orçamento" sheetId="3" r:id="rId4"/>
    <sheet name="Instruções" sheetId="1" r:id="rId5"/>
    <sheet name="Lista" sheetId="5" state="hidden" r:id="rId6"/>
    <sheet name="Cálculos" sheetId="6" state="hidden" r:id="rId7"/>
  </sheets>
  <definedNames>
    <definedName name="ABR_F">Cálculos!$K$5</definedName>
    <definedName name="ABR_I">Cálculos!$J$5</definedName>
    <definedName name="AGO_F">Cálculos!$K$9</definedName>
    <definedName name="AGO_I">Cálculos!$J$9</definedName>
    <definedName name="Alimentação">Lista!$D$16:$D$18</definedName>
    <definedName name="Casa">Lista!$D$8:$D$15</definedName>
    <definedName name="CATEGORIA">T_dados[CATEGORIA]</definedName>
    <definedName name="CC">Orçamento!$I$23</definedName>
    <definedName name="Cont">Orçamento!$I$16</definedName>
    <definedName name="CONTA">T_dados[CONTA]</definedName>
    <definedName name="DATA">Dados!$F:$F</definedName>
    <definedName name="Def_Orç">Orçamento!$C$5</definedName>
    <definedName name="DESCRIÇÃO">T_dados[DESCRIÇÃO]</definedName>
    <definedName name="DEZ_F">Cálculos!$K$13</definedName>
    <definedName name="DEZ_I">Cálculos!$J$13</definedName>
    <definedName name="Diversos">Lista!$D$39:$D$42</definedName>
    <definedName name="Educação">Lista!$D$32:$D$34</definedName>
    <definedName name="FEV_F">Cálculos!$K$3</definedName>
    <definedName name="FEV_I">Cálculos!$J$3</definedName>
    <definedName name="In">Orçamento!$C$31</definedName>
    <definedName name="InvS">Orçamento!$J$29</definedName>
    <definedName name="JAN_F">Cálculos!$K$2</definedName>
    <definedName name="JAN_I">Cálculos!$J$2</definedName>
    <definedName name="JUL_F">Cálculos!$K$8</definedName>
    <definedName name="JUL_I">Cálculos!$J$8</definedName>
    <definedName name="JUN_F">Cálculos!$K$7</definedName>
    <definedName name="JUN_I">Cálculos!$J$7</definedName>
    <definedName name="Lazer">Lista!$D$35:$D$38</definedName>
    <definedName name="Lista_Categoria">Table1[CATEGORIA]</definedName>
    <definedName name="Lista_Conta">Table4[CONTA]</definedName>
    <definedName name="MAI_F">Cálculos!$K$6</definedName>
    <definedName name="MAI_I">Cálculos!$J$6</definedName>
    <definedName name="MAR_F">Cálculos!$K$4</definedName>
    <definedName name="MAR_I">Cálculos!$J$4</definedName>
    <definedName name="NOV_F">Cálculos!$K$12</definedName>
    <definedName name="NOV_I">Cálculos!$J$12</definedName>
    <definedName name="Or">Orçamento!$B$15</definedName>
    <definedName name="Orç">Orçamento!$B$15</definedName>
    <definedName name="OUT_F">Cálculos!$K$11</definedName>
    <definedName name="OUT_I">Cálculos!$J$11</definedName>
    <definedName name="Outras">Lista!#REF!</definedName>
    <definedName name="Pessoais">Lista!$D$27:$D$31</definedName>
    <definedName name="_xlnm.Print_Area" localSheetId="0">Dashboard!$A$1:$Z$45</definedName>
    <definedName name="Pro">Orçamento!$B$38</definedName>
    <definedName name="rend">Orçamento!$J$3</definedName>
    <definedName name="Renda">Lista!$D$2:$D$7</definedName>
    <definedName name="Res_All">Orçamento!$A$11</definedName>
    <definedName name="Res_Mes">Orçamento!$C$8</definedName>
    <definedName name="Reset">Orçamento!$I$46</definedName>
    <definedName name="Saúde">Lista!$D$24:$D$26</definedName>
    <definedName name="Select_Ano">Orçamento!$A$2</definedName>
    <definedName name="SET_F">Cálculos!$K$10</definedName>
    <definedName name="SET_I">Cálculos!$J$10</definedName>
    <definedName name="SUBCATEGORIA">Dados!$C:$C</definedName>
    <definedName name="Taxas">Lista!$D$43:$D$47</definedName>
    <definedName name="Transferência">Lista!$D$48:$D$49</definedName>
    <definedName name="Transporte">Lista!$D$19:$D$23</definedName>
    <definedName name="VALOR">Dados!$E:$E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6" i="6" l="1"/>
  <c r="C85" i="6" s="1"/>
  <c r="M16" i="6"/>
  <c r="E2" i="6"/>
  <c r="I10" i="6" s="1"/>
  <c r="K10" i="6" s="1"/>
  <c r="C2" i="6" a="1"/>
  <c r="C2" i="6" s="1"/>
  <c r="D2" i="6" s="1" a="1"/>
  <c r="D2" i="6" s="1"/>
  <c r="N22" i="7"/>
  <c r="J22" i="7"/>
  <c r="F22" i="7"/>
  <c r="N18" i="7"/>
  <c r="J18" i="7"/>
  <c r="F18" i="7"/>
  <c r="B22" i="7"/>
  <c r="B18" i="7"/>
  <c r="B14" i="7"/>
  <c r="B10" i="7"/>
  <c r="N11" i="7"/>
  <c r="J11" i="7"/>
  <c r="F11" i="7"/>
  <c r="T83" i="6"/>
  <c r="T84" i="6"/>
  <c r="T85" i="6"/>
  <c r="T86" i="6"/>
  <c r="T87" i="6"/>
  <c r="T88" i="6"/>
  <c r="T89" i="6"/>
  <c r="T90" i="6"/>
  <c r="T82" i="6"/>
  <c r="M87" i="6"/>
  <c r="H83" i="6"/>
  <c r="H82" i="6"/>
  <c r="C84" i="6"/>
  <c r="J11" i="3"/>
  <c r="J10" i="3"/>
  <c r="AB48" i="6"/>
  <c r="W48" i="6"/>
  <c r="M86" i="6" s="1"/>
  <c r="R48" i="6"/>
  <c r="M85" i="6" s="1"/>
  <c r="M48" i="6"/>
  <c r="M84" i="6" s="1"/>
  <c r="H48" i="6"/>
  <c r="M83" i="6" s="1"/>
  <c r="C48" i="6"/>
  <c r="M82" i="6" s="1"/>
  <c r="M32" i="6"/>
  <c r="H84" i="6" s="1"/>
  <c r="H32" i="6"/>
  <c r="C32" i="6"/>
  <c r="F3" i="5"/>
  <c r="F4" i="5"/>
  <c r="F5" i="5"/>
  <c r="F6" i="5"/>
  <c r="F7" i="5"/>
  <c r="F8" i="5"/>
  <c r="F2" i="5"/>
  <c r="Q68" i="4"/>
  <c r="Q59" i="4"/>
  <c r="Q54" i="4"/>
  <c r="Q49" i="4"/>
  <c r="Q45" i="4"/>
  <c r="Q39" i="4"/>
  <c r="Q35" i="4"/>
  <c r="Q29" i="4"/>
  <c r="Q25" i="4"/>
  <c r="Q16" i="4"/>
  <c r="Q7" i="4"/>
  <c r="Q72" i="4" s="1"/>
  <c r="M65" i="6"/>
  <c r="R90" i="6" s="1"/>
  <c r="K65" i="6"/>
  <c r="R89" i="6" s="1"/>
  <c r="J65" i="6"/>
  <c r="R88" i="6" s="1"/>
  <c r="I65" i="6"/>
  <c r="R87" i="6" s="1"/>
  <c r="H65" i="6"/>
  <c r="R86" i="6" s="1"/>
  <c r="F65" i="6"/>
  <c r="R85" i="6" s="1"/>
  <c r="E65" i="6"/>
  <c r="R84" i="6" s="1"/>
  <c r="D65" i="6"/>
  <c r="R83" i="6" s="1"/>
  <c r="C65" i="6"/>
  <c r="R82" i="6" s="1"/>
  <c r="B49" i="3"/>
  <c r="Q67" i="4" s="1"/>
  <c r="J6" i="3"/>
  <c r="J9" i="3"/>
  <c r="J7" i="3"/>
  <c r="A9" i="3"/>
  <c r="B12" i="4"/>
  <c r="B11" i="4"/>
  <c r="B10" i="4"/>
  <c r="B9" i="4"/>
  <c r="B8" i="4"/>
  <c r="B7" i="4"/>
  <c r="H16" i="6"/>
  <c r="C16" i="6"/>
  <c r="C82" i="6" s="1"/>
  <c r="J8" i="3"/>
  <c r="C28" i="3"/>
  <c r="C24" i="3"/>
  <c r="C21" i="3"/>
  <c r="C15" i="3"/>
  <c r="I2" i="6" l="1"/>
  <c r="K2" i="6" s="1"/>
  <c r="I8" i="6"/>
  <c r="K8" i="6" s="1"/>
  <c r="H13" i="6"/>
  <c r="J13" i="6" s="1"/>
  <c r="H12" i="6"/>
  <c r="J12" i="6" s="1"/>
  <c r="I9" i="6"/>
  <c r="K9" i="6" s="1"/>
  <c r="H5" i="6"/>
  <c r="J5" i="6" s="1"/>
  <c r="H10" i="6"/>
  <c r="J10" i="6" s="1"/>
  <c r="S58" i="6" s="1"/>
  <c r="H11" i="6"/>
  <c r="J11" i="6" s="1"/>
  <c r="C42" i="6"/>
  <c r="X26" i="6"/>
  <c r="H42" i="6"/>
  <c r="I5" i="6"/>
  <c r="K5" i="6" s="1"/>
  <c r="E69" i="6" s="1"/>
  <c r="I7" i="6"/>
  <c r="K7" i="6" s="1"/>
  <c r="I6" i="6"/>
  <c r="K6" i="6" s="1"/>
  <c r="H7" i="6"/>
  <c r="J7" i="6" s="1"/>
  <c r="H3" i="6"/>
  <c r="J3" i="6" s="1"/>
  <c r="H6" i="6"/>
  <c r="J6" i="6" s="1"/>
  <c r="K70" i="6" s="1"/>
  <c r="I12" i="6"/>
  <c r="K12" i="6" s="1"/>
  <c r="H8" i="6"/>
  <c r="J8" i="6" s="1"/>
  <c r="J12" i="4" s="1"/>
  <c r="H9" i="6"/>
  <c r="J9" i="6" s="1"/>
  <c r="K16" i="4" s="1"/>
  <c r="I11" i="6"/>
  <c r="K11" i="6" s="1"/>
  <c r="I13" i="6"/>
  <c r="K13" i="6" s="1"/>
  <c r="R45" i="6" s="1"/>
  <c r="L3" i="6"/>
  <c r="I3" i="6" s="1"/>
  <c r="K3" i="6" s="1"/>
  <c r="H2" i="6"/>
  <c r="J2" i="6" s="1"/>
  <c r="I4" i="6"/>
  <c r="K4" i="6" s="1"/>
  <c r="H4" i="6"/>
  <c r="J4" i="6" s="1"/>
  <c r="Q74" i="4"/>
  <c r="C83" i="6"/>
  <c r="L56" i="4"/>
  <c r="B50" i="3"/>
  <c r="Q73" i="4"/>
  <c r="D75" i="6"/>
  <c r="E74" i="6"/>
  <c r="L11" i="4"/>
  <c r="D31" i="3"/>
  <c r="D14" i="3"/>
  <c r="I26" i="6" l="1"/>
  <c r="L42" i="4"/>
  <c r="M49" i="4"/>
  <c r="L36" i="4"/>
  <c r="M60" i="4"/>
  <c r="M54" i="4"/>
  <c r="L59" i="4"/>
  <c r="K74" i="6"/>
  <c r="L19" i="4"/>
  <c r="I74" i="6"/>
  <c r="C21" i="6"/>
  <c r="I72" i="6"/>
  <c r="H74" i="6"/>
  <c r="J56" i="4"/>
  <c r="C75" i="6"/>
  <c r="J31" i="4"/>
  <c r="H58" i="6"/>
  <c r="J74" i="6"/>
  <c r="D58" i="6"/>
  <c r="O25" i="4"/>
  <c r="R59" i="6"/>
  <c r="AB58" i="6"/>
  <c r="F74" i="6"/>
  <c r="L17" i="4"/>
  <c r="N74" i="6"/>
  <c r="R42" i="6"/>
  <c r="D57" i="4"/>
  <c r="H69" i="6"/>
  <c r="C77" i="6"/>
  <c r="M61" i="4"/>
  <c r="G27" i="4"/>
  <c r="I27" i="6"/>
  <c r="G50" i="4"/>
  <c r="L40" i="4"/>
  <c r="O26" i="4"/>
  <c r="L46" i="4"/>
  <c r="H26" i="6"/>
  <c r="J26" i="6" s="1"/>
  <c r="G25" i="4"/>
  <c r="L12" i="4"/>
  <c r="G56" i="4"/>
  <c r="L51" i="4"/>
  <c r="O67" i="4"/>
  <c r="X58" i="6"/>
  <c r="G10" i="4"/>
  <c r="M69" i="6"/>
  <c r="L16" i="4"/>
  <c r="I77" i="6"/>
  <c r="AC58" i="6"/>
  <c r="N30" i="4"/>
  <c r="C74" i="6"/>
  <c r="G47" i="4"/>
  <c r="L20" i="4"/>
  <c r="W29" i="6"/>
  <c r="I50" i="4"/>
  <c r="M26" i="6"/>
  <c r="E66" i="6"/>
  <c r="G12" i="4"/>
  <c r="M74" i="6"/>
  <c r="S26" i="6"/>
  <c r="M62" i="4"/>
  <c r="E75" i="6"/>
  <c r="L62" i="4"/>
  <c r="G19" i="4"/>
  <c r="L61" i="4"/>
  <c r="L26" i="4"/>
  <c r="G21" i="4"/>
  <c r="I53" i="6"/>
  <c r="AH59" i="6"/>
  <c r="C26" i="6"/>
  <c r="M11" i="4"/>
  <c r="M42" i="4"/>
  <c r="L43" i="4"/>
  <c r="M67" i="4"/>
  <c r="L18" i="4"/>
  <c r="L41" i="4"/>
  <c r="K69" i="6"/>
  <c r="L22" i="4"/>
  <c r="O10" i="4"/>
  <c r="M20" i="4"/>
  <c r="I47" i="4"/>
  <c r="M50" i="4"/>
  <c r="L31" i="4"/>
  <c r="L55" i="4"/>
  <c r="O33" i="4"/>
  <c r="M23" i="4"/>
  <c r="L47" i="4"/>
  <c r="N29" i="6"/>
  <c r="D26" i="6"/>
  <c r="I58" i="6"/>
  <c r="D45" i="6"/>
  <c r="H32" i="4"/>
  <c r="AG59" i="6"/>
  <c r="L10" i="4"/>
  <c r="L49" i="4"/>
  <c r="N53" i="6"/>
  <c r="W58" i="6"/>
  <c r="M58" i="6"/>
  <c r="G11" i="4"/>
  <c r="I75" i="6"/>
  <c r="G8" i="4"/>
  <c r="L60" i="4"/>
  <c r="L50" i="4"/>
  <c r="L52" i="4"/>
  <c r="O40" i="4"/>
  <c r="D74" i="6"/>
  <c r="L27" i="4"/>
  <c r="R29" i="6"/>
  <c r="S42" i="6"/>
  <c r="I42" i="6"/>
  <c r="J42" i="6" s="1"/>
  <c r="L7" i="4"/>
  <c r="M26" i="4"/>
  <c r="G18" i="4"/>
  <c r="L63" i="4"/>
  <c r="L8" i="4"/>
  <c r="W26" i="6"/>
  <c r="Y26" i="6" s="1"/>
  <c r="M31" i="4"/>
  <c r="L29" i="4"/>
  <c r="D43" i="6"/>
  <c r="N58" i="6"/>
  <c r="M42" i="6"/>
  <c r="L9" i="4"/>
  <c r="M45" i="4"/>
  <c r="L45" i="4"/>
  <c r="L39" i="4"/>
  <c r="L68" i="4"/>
  <c r="O17" i="4"/>
  <c r="M37" i="4"/>
  <c r="I67" i="4"/>
  <c r="N28" i="6"/>
  <c r="R26" i="6"/>
  <c r="R58" i="6"/>
  <c r="T58" i="6" s="1"/>
  <c r="AH58" i="6"/>
  <c r="H51" i="4"/>
  <c r="O57" i="4"/>
  <c r="M35" i="4"/>
  <c r="O39" i="4"/>
  <c r="M51" i="4"/>
  <c r="M9" i="4"/>
  <c r="M39" i="4"/>
  <c r="L32" i="4"/>
  <c r="F75" i="6"/>
  <c r="L57" i="4"/>
  <c r="L67" i="4"/>
  <c r="O52" i="4"/>
  <c r="O51" i="4"/>
  <c r="M63" i="4"/>
  <c r="L23" i="4"/>
  <c r="D42" i="6"/>
  <c r="E42" i="6" s="1"/>
  <c r="N42" i="6"/>
  <c r="AG58" i="6"/>
  <c r="H61" i="6"/>
  <c r="S27" i="6"/>
  <c r="I68" i="4"/>
  <c r="M46" i="4"/>
  <c r="O36" i="4"/>
  <c r="O21" i="4"/>
  <c r="C27" i="6"/>
  <c r="M59" i="4"/>
  <c r="O63" i="4"/>
  <c r="N77" i="6"/>
  <c r="J73" i="6"/>
  <c r="M45" i="6"/>
  <c r="H27" i="6"/>
  <c r="M36" i="4"/>
  <c r="L33" i="4"/>
  <c r="L30" i="4"/>
  <c r="L21" i="4"/>
  <c r="L54" i="4"/>
  <c r="L35" i="4"/>
  <c r="O35" i="4"/>
  <c r="L25" i="4"/>
  <c r="L37" i="4"/>
  <c r="J27" i="4"/>
  <c r="R43" i="6"/>
  <c r="N26" i="6"/>
  <c r="O26" i="6" s="1"/>
  <c r="C58" i="6"/>
  <c r="E58" i="6" s="1"/>
  <c r="W25" i="6"/>
  <c r="K27" i="4"/>
  <c r="K45" i="4"/>
  <c r="D72" i="6"/>
  <c r="J29" i="4"/>
  <c r="K12" i="4"/>
  <c r="K67" i="4"/>
  <c r="D73" i="6"/>
  <c r="K17" i="4"/>
  <c r="J59" i="4"/>
  <c r="K63" i="4"/>
  <c r="K68" i="4"/>
  <c r="D70" i="6"/>
  <c r="K42" i="4"/>
  <c r="J72" i="6"/>
  <c r="F70" i="6"/>
  <c r="J55" i="4"/>
  <c r="I25" i="4"/>
  <c r="K43" i="4"/>
  <c r="J8" i="4"/>
  <c r="D19" i="4"/>
  <c r="J49" i="4"/>
  <c r="M7" i="4"/>
  <c r="E72" i="6"/>
  <c r="W27" i="6"/>
  <c r="I16" i="4"/>
  <c r="G36" i="4"/>
  <c r="K41" i="4"/>
  <c r="D41" i="4"/>
  <c r="J20" i="4"/>
  <c r="S37" i="6"/>
  <c r="H72" i="6"/>
  <c r="K56" i="4"/>
  <c r="K20" i="4"/>
  <c r="J51" i="4"/>
  <c r="J43" i="4"/>
  <c r="J54" i="4"/>
  <c r="M72" i="6"/>
  <c r="E73" i="6"/>
  <c r="F71" i="6"/>
  <c r="I41" i="4"/>
  <c r="D53" i="6"/>
  <c r="N11" i="4"/>
  <c r="N18" i="4"/>
  <c r="D55" i="4"/>
  <c r="D10" i="4"/>
  <c r="D18" i="4"/>
  <c r="I63" i="4"/>
  <c r="I31" i="4"/>
  <c r="E76" i="6"/>
  <c r="H76" i="6"/>
  <c r="N57" i="4"/>
  <c r="D61" i="4"/>
  <c r="N62" i="4"/>
  <c r="G33" i="4"/>
  <c r="G68" i="4"/>
  <c r="F69" i="6"/>
  <c r="D69" i="6"/>
  <c r="H12" i="4"/>
  <c r="I22" i="4"/>
  <c r="K52" i="4"/>
  <c r="M73" i="6"/>
  <c r="K18" i="4"/>
  <c r="K60" i="4"/>
  <c r="K7" i="4"/>
  <c r="K46" i="4"/>
  <c r="K73" i="6"/>
  <c r="K21" i="4"/>
  <c r="K29" i="4"/>
  <c r="K62" i="4"/>
  <c r="K36" i="4"/>
  <c r="K8" i="4"/>
  <c r="N73" i="6"/>
  <c r="I73" i="6"/>
  <c r="K57" i="4"/>
  <c r="K35" i="4"/>
  <c r="K11" i="4"/>
  <c r="K50" i="4"/>
  <c r="H53" i="6"/>
  <c r="N9" i="4"/>
  <c r="H16" i="4"/>
  <c r="N20" i="4"/>
  <c r="G20" i="4"/>
  <c r="F66" i="6"/>
  <c r="K55" i="4"/>
  <c r="F76" i="6"/>
  <c r="H45" i="4"/>
  <c r="I20" i="4"/>
  <c r="J37" i="4"/>
  <c r="K72" i="6"/>
  <c r="J52" i="4"/>
  <c r="J7" i="4"/>
  <c r="J33" i="4"/>
  <c r="J39" i="4"/>
  <c r="J35" i="4"/>
  <c r="J32" i="4"/>
  <c r="J11" i="4"/>
  <c r="N72" i="6"/>
  <c r="J18" i="4"/>
  <c r="J60" i="4"/>
  <c r="W24" i="6"/>
  <c r="J23" i="4"/>
  <c r="J26" i="4"/>
  <c r="J62" i="4"/>
  <c r="J63" i="4"/>
  <c r="J9" i="4"/>
  <c r="J67" i="4"/>
  <c r="J10" i="4"/>
  <c r="J68" i="4"/>
  <c r="J42" i="4"/>
  <c r="J47" i="4"/>
  <c r="J50" i="4"/>
  <c r="J41" i="4"/>
  <c r="D37" i="6"/>
  <c r="N42" i="4"/>
  <c r="N70" i="6"/>
  <c r="H30" i="4"/>
  <c r="H21" i="4"/>
  <c r="I70" i="6"/>
  <c r="H40" i="4"/>
  <c r="H62" i="4"/>
  <c r="H70" i="6"/>
  <c r="H47" i="4"/>
  <c r="H25" i="4"/>
  <c r="H42" i="4"/>
  <c r="H59" i="4"/>
  <c r="H68" i="4"/>
  <c r="H55" i="4"/>
  <c r="H31" i="4"/>
  <c r="H39" i="4"/>
  <c r="J70" i="6"/>
  <c r="H35" i="4"/>
  <c r="H7" i="4"/>
  <c r="W22" i="6"/>
  <c r="H60" i="4"/>
  <c r="H26" i="4"/>
  <c r="H29" i="4"/>
  <c r="M70" i="6"/>
  <c r="H56" i="4"/>
  <c r="H9" i="4"/>
  <c r="H11" i="4"/>
  <c r="S60" i="6"/>
  <c r="F37" i="4"/>
  <c r="N60" i="6"/>
  <c r="S44" i="6"/>
  <c r="J76" i="6"/>
  <c r="N40" i="4"/>
  <c r="N12" i="4"/>
  <c r="AH60" i="6"/>
  <c r="M28" i="6"/>
  <c r="N68" i="4"/>
  <c r="N8" i="4"/>
  <c r="N43" i="4"/>
  <c r="N35" i="4"/>
  <c r="N41" i="4"/>
  <c r="D76" i="6"/>
  <c r="N67" i="4"/>
  <c r="N29" i="4"/>
  <c r="N26" i="4"/>
  <c r="N46" i="4"/>
  <c r="D28" i="6"/>
  <c r="N22" i="4"/>
  <c r="R28" i="6"/>
  <c r="H60" i="6"/>
  <c r="D60" i="6"/>
  <c r="M76" i="6"/>
  <c r="N51" i="4"/>
  <c r="N54" i="4"/>
  <c r="N27" i="4"/>
  <c r="S28" i="6"/>
  <c r="N33" i="4"/>
  <c r="N63" i="4"/>
  <c r="N49" i="4"/>
  <c r="N21" i="4"/>
  <c r="N37" i="4"/>
  <c r="N19" i="4"/>
  <c r="N17" i="4"/>
  <c r="N45" i="4"/>
  <c r="N55" i="4"/>
  <c r="R60" i="6"/>
  <c r="N39" i="4"/>
  <c r="N52" i="4"/>
  <c r="N47" i="4"/>
  <c r="M44" i="6"/>
  <c r="C60" i="6"/>
  <c r="N44" i="6"/>
  <c r="H36" i="4"/>
  <c r="N56" i="4"/>
  <c r="N60" i="4"/>
  <c r="N7" i="4"/>
  <c r="H28" i="6"/>
  <c r="N23" i="4"/>
  <c r="N76" i="6"/>
  <c r="N10" i="4"/>
  <c r="C76" i="6"/>
  <c r="H63" i="4"/>
  <c r="I76" i="6"/>
  <c r="C44" i="6"/>
  <c r="K76" i="6"/>
  <c r="N61" i="4"/>
  <c r="F32" i="4"/>
  <c r="F36" i="4"/>
  <c r="D44" i="6"/>
  <c r="W60" i="6"/>
  <c r="N25" i="4"/>
  <c r="N31" i="4"/>
  <c r="AB60" i="6"/>
  <c r="N36" i="4"/>
  <c r="N59" i="4"/>
  <c r="N16" i="4"/>
  <c r="M37" i="6"/>
  <c r="S53" i="6"/>
  <c r="M53" i="6"/>
  <c r="AC53" i="6"/>
  <c r="G55" i="4"/>
  <c r="AB53" i="6"/>
  <c r="G57" i="4"/>
  <c r="G45" i="4"/>
  <c r="H37" i="6"/>
  <c r="W53" i="6"/>
  <c r="G37" i="4"/>
  <c r="C69" i="6"/>
  <c r="G54" i="4"/>
  <c r="G39" i="4"/>
  <c r="G52" i="4"/>
  <c r="G9" i="4"/>
  <c r="G46" i="4"/>
  <c r="G29" i="4"/>
  <c r="G49" i="4"/>
  <c r="J69" i="6"/>
  <c r="C37" i="6"/>
  <c r="R53" i="6"/>
  <c r="X21" i="6"/>
  <c r="G26" i="4"/>
  <c r="N21" i="6"/>
  <c r="I21" i="6"/>
  <c r="G67" i="4"/>
  <c r="G31" i="4"/>
  <c r="G41" i="4"/>
  <c r="G32" i="4"/>
  <c r="G30" i="4"/>
  <c r="N69" i="6"/>
  <c r="S21" i="6"/>
  <c r="X53" i="6"/>
  <c r="I69" i="6"/>
  <c r="G51" i="4"/>
  <c r="G17" i="4"/>
  <c r="G43" i="4"/>
  <c r="R37" i="6"/>
  <c r="AG53" i="6"/>
  <c r="AH53" i="6"/>
  <c r="G61" i="4"/>
  <c r="G22" i="4"/>
  <c r="G23" i="4"/>
  <c r="G60" i="4"/>
  <c r="G42" i="4"/>
  <c r="G7" i="4"/>
  <c r="G59" i="4"/>
  <c r="G63" i="4"/>
  <c r="W28" i="6"/>
  <c r="G40" i="4"/>
  <c r="G62" i="4"/>
  <c r="H61" i="4"/>
  <c r="H43" i="4"/>
  <c r="N32" i="4"/>
  <c r="G16" i="4"/>
  <c r="G35" i="4"/>
  <c r="W21" i="6"/>
  <c r="H67" i="4"/>
  <c r="N50" i="4"/>
  <c r="N71" i="6"/>
  <c r="C53" i="6"/>
  <c r="R44" i="6"/>
  <c r="I8" i="4"/>
  <c r="I9" i="4"/>
  <c r="M71" i="6"/>
  <c r="I12" i="4"/>
  <c r="I29" i="4"/>
  <c r="I30" i="4"/>
  <c r="AB59" i="6"/>
  <c r="H59" i="6"/>
  <c r="J75" i="6"/>
  <c r="I39" i="4"/>
  <c r="M21" i="4"/>
  <c r="O29" i="4"/>
  <c r="I42" i="4"/>
  <c r="H57" i="4"/>
  <c r="M43" i="6"/>
  <c r="C45" i="6"/>
  <c r="E45" i="6" s="1"/>
  <c r="I43" i="6"/>
  <c r="W61" i="6"/>
  <c r="I59" i="6"/>
  <c r="I45" i="4"/>
  <c r="D50" i="4"/>
  <c r="S34" i="6"/>
  <c r="N18" i="6"/>
  <c r="W50" i="6"/>
  <c r="S50" i="6"/>
  <c r="C34" i="6"/>
  <c r="R18" i="6"/>
  <c r="D34" i="6"/>
  <c r="AB50" i="6"/>
  <c r="H34" i="6"/>
  <c r="X50" i="6"/>
  <c r="M34" i="6"/>
  <c r="X18" i="6"/>
  <c r="I34" i="6"/>
  <c r="M50" i="6"/>
  <c r="N34" i="6"/>
  <c r="M18" i="6"/>
  <c r="D50" i="6"/>
  <c r="H50" i="6"/>
  <c r="I50" i="6"/>
  <c r="AG50" i="6"/>
  <c r="H18" i="6"/>
  <c r="D18" i="6"/>
  <c r="N50" i="6"/>
  <c r="S18" i="6"/>
  <c r="AH50" i="6"/>
  <c r="R34" i="6"/>
  <c r="R50" i="6"/>
  <c r="AC50" i="6"/>
  <c r="C18" i="6"/>
  <c r="N66" i="6"/>
  <c r="W18" i="6"/>
  <c r="I7" i="4"/>
  <c r="I49" i="4"/>
  <c r="I59" i="4"/>
  <c r="F59" i="4"/>
  <c r="D60" i="4"/>
  <c r="H45" i="6"/>
  <c r="D29" i="6"/>
  <c r="R27" i="6"/>
  <c r="C43" i="6"/>
  <c r="M12" i="4"/>
  <c r="M8" i="4"/>
  <c r="H71" i="6"/>
  <c r="I23" i="4"/>
  <c r="M56" i="4"/>
  <c r="I62" i="4"/>
  <c r="I54" i="4"/>
  <c r="H75" i="6"/>
  <c r="C59" i="6"/>
  <c r="W59" i="6"/>
  <c r="I27" i="4"/>
  <c r="K71" i="6"/>
  <c r="M43" i="4"/>
  <c r="D77" i="6"/>
  <c r="K68" i="6"/>
  <c r="F68" i="6"/>
  <c r="J66" i="6"/>
  <c r="O20" i="4"/>
  <c r="O43" i="4"/>
  <c r="O32" i="4"/>
  <c r="O42" i="4"/>
  <c r="M19" i="4"/>
  <c r="M17" i="4"/>
  <c r="I36" i="4"/>
  <c r="I35" i="4"/>
  <c r="K26" i="4"/>
  <c r="K30" i="4"/>
  <c r="K33" i="4"/>
  <c r="K31" i="4"/>
  <c r="K54" i="4"/>
  <c r="D71" i="6"/>
  <c r="F22" i="4"/>
  <c r="D16" i="4"/>
  <c r="D25" i="4"/>
  <c r="K25" i="4"/>
  <c r="H54" i="4"/>
  <c r="K23" i="4"/>
  <c r="M32" i="4"/>
  <c r="M30" i="4"/>
  <c r="I46" i="4"/>
  <c r="I57" i="4"/>
  <c r="X56" i="6"/>
  <c r="R24" i="6"/>
  <c r="H24" i="6"/>
  <c r="C24" i="6"/>
  <c r="X24" i="6"/>
  <c r="I24" i="6"/>
  <c r="AC56" i="6"/>
  <c r="N40" i="6"/>
  <c r="M24" i="6"/>
  <c r="AH56" i="6"/>
  <c r="D56" i="6"/>
  <c r="D40" i="6"/>
  <c r="AB56" i="6"/>
  <c r="H56" i="6"/>
  <c r="M56" i="6"/>
  <c r="M40" i="6"/>
  <c r="I56" i="6"/>
  <c r="I40" i="6"/>
  <c r="AG56" i="6"/>
  <c r="R40" i="6"/>
  <c r="S24" i="6"/>
  <c r="R56" i="6"/>
  <c r="N56" i="6"/>
  <c r="C56" i="6"/>
  <c r="C40" i="6"/>
  <c r="D24" i="6"/>
  <c r="S40" i="6"/>
  <c r="N24" i="6"/>
  <c r="W56" i="6"/>
  <c r="S56" i="6"/>
  <c r="H40" i="6"/>
  <c r="C50" i="6"/>
  <c r="E50" i="6" s="1"/>
  <c r="F50" i="6" s="1"/>
  <c r="S45" i="6"/>
  <c r="T45" i="6" s="1"/>
  <c r="S29" i="6"/>
  <c r="S43" i="6"/>
  <c r="N59" i="6"/>
  <c r="D8" i="4"/>
  <c r="H10" i="4"/>
  <c r="C73" i="6"/>
  <c r="I10" i="4"/>
  <c r="K75" i="6"/>
  <c r="H27" i="4"/>
  <c r="H8" i="4"/>
  <c r="H33" i="4"/>
  <c r="J71" i="6"/>
  <c r="I18" i="4"/>
  <c r="I26" i="4"/>
  <c r="I17" i="4"/>
  <c r="K39" i="4"/>
  <c r="K19" i="4"/>
  <c r="E70" i="6"/>
  <c r="D7" i="4"/>
  <c r="D23" i="4"/>
  <c r="K32" i="4"/>
  <c r="H22" i="4"/>
  <c r="J22" i="4"/>
  <c r="J17" i="4"/>
  <c r="J61" i="4"/>
  <c r="J45" i="4"/>
  <c r="M77" i="6"/>
  <c r="O41" i="4"/>
  <c r="J77" i="6"/>
  <c r="O60" i="4"/>
  <c r="I71" i="6"/>
  <c r="M33" i="4"/>
  <c r="M27" i="4"/>
  <c r="I19" i="4"/>
  <c r="I60" i="4"/>
  <c r="C28" i="6"/>
  <c r="I28" i="6"/>
  <c r="I44" i="6"/>
  <c r="AG60" i="6"/>
  <c r="I60" i="6"/>
  <c r="M60" i="6"/>
  <c r="H44" i="6"/>
  <c r="X28" i="6"/>
  <c r="H21" i="6"/>
  <c r="J21" i="6" s="1"/>
  <c r="R21" i="6"/>
  <c r="D21" i="6"/>
  <c r="N37" i="6"/>
  <c r="M21" i="6"/>
  <c r="I37" i="6"/>
  <c r="I18" i="6"/>
  <c r="N45" i="6"/>
  <c r="H29" i="6"/>
  <c r="AC60" i="6"/>
  <c r="X60" i="6"/>
  <c r="AC59" i="6"/>
  <c r="X59" i="6"/>
  <c r="C66" i="6"/>
  <c r="F46" i="4"/>
  <c r="D51" i="4"/>
  <c r="D49" i="4"/>
  <c r="F60" i="4"/>
  <c r="D40" i="4"/>
  <c r="S51" i="6"/>
  <c r="C35" i="6"/>
  <c r="R19" i="6"/>
  <c r="D19" i="6"/>
  <c r="N35" i="6"/>
  <c r="X51" i="6"/>
  <c r="X19" i="6"/>
  <c r="I51" i="6"/>
  <c r="AG51" i="6"/>
  <c r="C19" i="6"/>
  <c r="D51" i="6"/>
  <c r="D35" i="6"/>
  <c r="AB51" i="6"/>
  <c r="H51" i="6"/>
  <c r="H35" i="6"/>
  <c r="I19" i="6"/>
  <c r="M35" i="6"/>
  <c r="I35" i="6"/>
  <c r="M51" i="6"/>
  <c r="H19" i="6"/>
  <c r="AC51" i="6"/>
  <c r="S35" i="6"/>
  <c r="W51" i="6"/>
  <c r="S19" i="6"/>
  <c r="AH51" i="6"/>
  <c r="C51" i="6"/>
  <c r="R35" i="6"/>
  <c r="M19" i="6"/>
  <c r="N19" i="6"/>
  <c r="N51" i="6"/>
  <c r="R51" i="6"/>
  <c r="F10" i="4"/>
  <c r="I61" i="4"/>
  <c r="F68" i="4" a="1"/>
  <c r="F68" i="4" s="1"/>
  <c r="F8" i="4"/>
  <c r="M66" i="6"/>
  <c r="O49" i="4"/>
  <c r="O16" i="4"/>
  <c r="K77" i="6"/>
  <c r="O30" i="4"/>
  <c r="M10" i="4"/>
  <c r="F7" i="4"/>
  <c r="M55" i="4"/>
  <c r="H49" i="4"/>
  <c r="H52" i="4"/>
  <c r="H18" i="4"/>
  <c r="H77" i="6"/>
  <c r="I56" i="4"/>
  <c r="N61" i="6"/>
  <c r="D27" i="6"/>
  <c r="F40" i="4"/>
  <c r="D32" i="4"/>
  <c r="D12" i="4"/>
  <c r="F29" i="4"/>
  <c r="D63" i="4"/>
  <c r="O31" i="4"/>
  <c r="X29" i="6"/>
  <c r="I29" i="6"/>
  <c r="I45" i="6"/>
  <c r="AG61" i="6"/>
  <c r="AH61" i="6"/>
  <c r="I61" i="6"/>
  <c r="M61" i="6"/>
  <c r="C29" i="6"/>
  <c r="X61" i="6"/>
  <c r="S55" i="6"/>
  <c r="N55" i="6"/>
  <c r="I55" i="6"/>
  <c r="D55" i="6"/>
  <c r="S39" i="6"/>
  <c r="I39" i="6"/>
  <c r="D39" i="6"/>
  <c r="N23" i="6"/>
  <c r="S23" i="6"/>
  <c r="AG55" i="6"/>
  <c r="AB55" i="6"/>
  <c r="W55" i="6"/>
  <c r="R55" i="6"/>
  <c r="M55" i="6"/>
  <c r="H55" i="6"/>
  <c r="C55" i="6"/>
  <c r="D23" i="6"/>
  <c r="X55" i="6"/>
  <c r="R23" i="6"/>
  <c r="H23" i="6"/>
  <c r="C23" i="6"/>
  <c r="X23" i="6"/>
  <c r="I23" i="6"/>
  <c r="AC55" i="6"/>
  <c r="N39" i="6"/>
  <c r="H39" i="6"/>
  <c r="AH55" i="6"/>
  <c r="R39" i="6"/>
  <c r="M39" i="6"/>
  <c r="M23" i="6"/>
  <c r="C39" i="6"/>
  <c r="D61" i="6"/>
  <c r="AC61" i="6"/>
  <c r="O9" i="4"/>
  <c r="F12" i="4"/>
  <c r="H68" i="6"/>
  <c r="O18" i="4"/>
  <c r="O55" i="4"/>
  <c r="O8" i="4"/>
  <c r="O27" i="4"/>
  <c r="I40" i="4"/>
  <c r="I51" i="4"/>
  <c r="M22" i="4"/>
  <c r="S59" i="6"/>
  <c r="H43" i="6"/>
  <c r="X27" i="6"/>
  <c r="E68" i="6"/>
  <c r="M41" i="4"/>
  <c r="S61" i="6"/>
  <c r="M29" i="6"/>
  <c r="C71" i="6"/>
  <c r="E71" i="6"/>
  <c r="M52" i="4"/>
  <c r="M57" i="4"/>
  <c r="F77" i="6"/>
  <c r="AC57" i="6"/>
  <c r="N41" i="6"/>
  <c r="M25" i="6"/>
  <c r="AH57" i="6"/>
  <c r="X25" i="6"/>
  <c r="M41" i="6"/>
  <c r="R41" i="6"/>
  <c r="H25" i="6"/>
  <c r="R57" i="6"/>
  <c r="I57" i="6"/>
  <c r="I41" i="6"/>
  <c r="AG57" i="6"/>
  <c r="M57" i="6"/>
  <c r="C25" i="6"/>
  <c r="X57" i="6"/>
  <c r="S25" i="6"/>
  <c r="N57" i="6"/>
  <c r="I25" i="6"/>
  <c r="D57" i="6"/>
  <c r="D41" i="6"/>
  <c r="AB57" i="6"/>
  <c r="S41" i="6"/>
  <c r="N25" i="6"/>
  <c r="H57" i="6"/>
  <c r="C57" i="6"/>
  <c r="C41" i="6"/>
  <c r="R25" i="6"/>
  <c r="D25" i="6"/>
  <c r="W57" i="6"/>
  <c r="S57" i="6"/>
  <c r="H41" i="6"/>
  <c r="C61" i="6"/>
  <c r="R61" i="6"/>
  <c r="N27" i="6"/>
  <c r="N43" i="6"/>
  <c r="O68" i="4"/>
  <c r="O74" i="4" s="1"/>
  <c r="O23" i="4"/>
  <c r="O62" i="4"/>
  <c r="O56" i="4"/>
  <c r="K10" i="4"/>
  <c r="K9" i="4"/>
  <c r="O12" i="4"/>
  <c r="C70" i="6"/>
  <c r="D9" i="4"/>
  <c r="M25" i="4"/>
  <c r="H20" i="4"/>
  <c r="H23" i="4"/>
  <c r="H37" i="4"/>
  <c r="I43" i="4"/>
  <c r="I33" i="4"/>
  <c r="K61" i="4"/>
  <c r="K40" i="4"/>
  <c r="O7" i="4"/>
  <c r="F31" i="4"/>
  <c r="H66" i="6"/>
  <c r="D43" i="4"/>
  <c r="J25" i="4"/>
  <c r="H46" i="4"/>
  <c r="F73" i="6"/>
  <c r="J36" i="4"/>
  <c r="J30" i="4"/>
  <c r="J16" i="4"/>
  <c r="J19" i="4"/>
  <c r="O61" i="4"/>
  <c r="O45" i="4"/>
  <c r="O22" i="4"/>
  <c r="O54" i="4"/>
  <c r="M68" i="4"/>
  <c r="M47" i="4"/>
  <c r="I32" i="4"/>
  <c r="I55" i="4"/>
  <c r="R38" i="6"/>
  <c r="M38" i="6"/>
  <c r="H38" i="6"/>
  <c r="C38" i="6"/>
  <c r="S54" i="6"/>
  <c r="N54" i="6"/>
  <c r="I54" i="6"/>
  <c r="D54" i="6"/>
  <c r="S38" i="6"/>
  <c r="I38" i="6"/>
  <c r="D38" i="6"/>
  <c r="N22" i="6"/>
  <c r="S22" i="6"/>
  <c r="AG54" i="6"/>
  <c r="AB54" i="6"/>
  <c r="W54" i="6"/>
  <c r="R54" i="6"/>
  <c r="M54" i="6"/>
  <c r="O54" i="6" s="1"/>
  <c r="H54" i="6"/>
  <c r="C54" i="6"/>
  <c r="D22" i="6"/>
  <c r="X54" i="6"/>
  <c r="AC54" i="6"/>
  <c r="X22" i="6"/>
  <c r="C22" i="6"/>
  <c r="H22" i="6"/>
  <c r="N38" i="6"/>
  <c r="AH54" i="6"/>
  <c r="I22" i="6"/>
  <c r="R22" i="6"/>
  <c r="M22" i="6"/>
  <c r="O11" i="4"/>
  <c r="I11" i="4"/>
  <c r="E77" i="6"/>
  <c r="H41" i="4"/>
  <c r="M29" i="4"/>
  <c r="H73" i="6"/>
  <c r="H17" i="4"/>
  <c r="H50" i="4"/>
  <c r="K49" i="4"/>
  <c r="W23" i="6"/>
  <c r="I37" i="4"/>
  <c r="I21" i="4"/>
  <c r="M18" i="4"/>
  <c r="K47" i="4"/>
  <c r="K51" i="4"/>
  <c r="F72" i="6"/>
  <c r="C72" i="6"/>
  <c r="I66" i="6"/>
  <c r="D46" i="4"/>
  <c r="K37" i="4"/>
  <c r="H19" i="4"/>
  <c r="K22" i="4"/>
  <c r="J46" i="4"/>
  <c r="J57" i="4"/>
  <c r="J21" i="4"/>
  <c r="J40" i="4"/>
  <c r="O59" i="4"/>
  <c r="O47" i="4"/>
  <c r="O19" i="4"/>
  <c r="D26" i="4"/>
  <c r="M16" i="4"/>
  <c r="N75" i="6"/>
  <c r="I52" i="4"/>
  <c r="M75" i="6"/>
  <c r="R36" i="6"/>
  <c r="M36" i="6"/>
  <c r="X52" i="6"/>
  <c r="S52" i="6"/>
  <c r="N52" i="6"/>
  <c r="D52" i="6"/>
  <c r="D36" i="6"/>
  <c r="AB52" i="6"/>
  <c r="H52" i="6"/>
  <c r="H36" i="6"/>
  <c r="I20" i="6"/>
  <c r="I52" i="6"/>
  <c r="I36" i="6"/>
  <c r="M52" i="6"/>
  <c r="R52" i="6"/>
  <c r="X20" i="6"/>
  <c r="AG52" i="6"/>
  <c r="C20" i="6"/>
  <c r="S20" i="6"/>
  <c r="AC52" i="6"/>
  <c r="C36" i="6"/>
  <c r="R20" i="6"/>
  <c r="D20" i="6"/>
  <c r="S36" i="6"/>
  <c r="W52" i="6"/>
  <c r="AH52" i="6"/>
  <c r="C52" i="6"/>
  <c r="N36" i="6"/>
  <c r="M20" i="6"/>
  <c r="H20" i="6"/>
  <c r="N20" i="6"/>
  <c r="K59" i="4"/>
  <c r="AB61" i="6"/>
  <c r="D59" i="6"/>
  <c r="M27" i="6"/>
  <c r="M59" i="6"/>
  <c r="Q75" i="4"/>
  <c r="D66" i="6"/>
  <c r="D54" i="4"/>
  <c r="D29" i="4"/>
  <c r="K66" i="6"/>
  <c r="D17" i="4"/>
  <c r="D11" i="4"/>
  <c r="D37" i="4"/>
  <c r="D59" i="4"/>
  <c r="D20" i="4"/>
  <c r="D36" i="4"/>
  <c r="M40" i="4"/>
  <c r="F35" i="4"/>
  <c r="F47" i="4"/>
  <c r="D27" i="4"/>
  <c r="D68" i="4"/>
  <c r="D35" i="4"/>
  <c r="D47" i="4"/>
  <c r="D21" i="4"/>
  <c r="O50" i="4"/>
  <c r="O37" i="4"/>
  <c r="O46" i="4"/>
  <c r="D56" i="4"/>
  <c r="D33" i="4"/>
  <c r="D52" i="4"/>
  <c r="D62" i="4"/>
  <c r="D39" i="4"/>
  <c r="D30" i="4"/>
  <c r="D22" i="4"/>
  <c r="D67" i="4"/>
  <c r="D42" i="4"/>
  <c r="D45" i="4"/>
  <c r="D31" i="4"/>
  <c r="F16" i="4"/>
  <c r="F21" i="4"/>
  <c r="F52" i="4"/>
  <c r="F45" i="4"/>
  <c r="F17" i="4"/>
  <c r="F51" i="4"/>
  <c r="F67" i="4" a="1"/>
  <c r="F67" i="4" s="1"/>
  <c r="F27" i="4"/>
  <c r="F50" i="4"/>
  <c r="C68" i="6"/>
  <c r="F9" i="4"/>
  <c r="F11" i="4"/>
  <c r="I68" i="6"/>
  <c r="F26" i="4"/>
  <c r="F56" i="4"/>
  <c r="F39" i="4"/>
  <c r="F33" i="4"/>
  <c r="F55" i="4"/>
  <c r="M68" i="6"/>
  <c r="F23" i="4"/>
  <c r="F30" i="4"/>
  <c r="F57" i="4"/>
  <c r="N68" i="6"/>
  <c r="F20" i="4"/>
  <c r="F43" i="4"/>
  <c r="F63" i="4"/>
  <c r="D68" i="6"/>
  <c r="F54" i="4"/>
  <c r="F49" i="4"/>
  <c r="F19" i="4"/>
  <c r="F42" i="4"/>
  <c r="F62" i="4"/>
  <c r="W20" i="6"/>
  <c r="F25" i="4"/>
  <c r="J68" i="6"/>
  <c r="F18" i="4"/>
  <c r="F41" i="4"/>
  <c r="F61" i="4"/>
  <c r="N67" i="6"/>
  <c r="F67" i="6"/>
  <c r="E39" i="4"/>
  <c r="E29" i="4"/>
  <c r="E33" i="4"/>
  <c r="E25" i="4"/>
  <c r="E50" i="4"/>
  <c r="E27" i="4"/>
  <c r="E26" i="4"/>
  <c r="E57" i="4"/>
  <c r="E7" i="4"/>
  <c r="E56" i="4"/>
  <c r="E67" i="4"/>
  <c r="E37" i="4"/>
  <c r="W19" i="6"/>
  <c r="E59" i="4"/>
  <c r="E32" i="4"/>
  <c r="E55" i="4"/>
  <c r="E31" i="4"/>
  <c r="E68" i="4"/>
  <c r="E30" i="4"/>
  <c r="D67" i="6"/>
  <c r="H67" i="6"/>
  <c r="E49" i="4"/>
  <c r="E36" i="4"/>
  <c r="E9" i="4"/>
  <c r="E10" i="4"/>
  <c r="E23" i="4"/>
  <c r="E46" i="4"/>
  <c r="E35" i="4"/>
  <c r="E67" i="6"/>
  <c r="C67" i="6"/>
  <c r="K67" i="6"/>
  <c r="E47" i="4"/>
  <c r="E11" i="4"/>
  <c r="E16" i="4"/>
  <c r="E22" i="4"/>
  <c r="E52" i="4"/>
  <c r="E8" i="4"/>
  <c r="E54" i="4"/>
  <c r="E21" i="4"/>
  <c r="E51" i="4"/>
  <c r="E45" i="4"/>
  <c r="E20" i="4"/>
  <c r="E43" i="4"/>
  <c r="E63" i="4"/>
  <c r="E12" i="4"/>
  <c r="I67" i="6"/>
  <c r="E19" i="4"/>
  <c r="E42" i="4"/>
  <c r="E62" i="4"/>
  <c r="M67" i="6"/>
  <c r="E18" i="4"/>
  <c r="E41" i="4"/>
  <c r="E61" i="4"/>
  <c r="J67" i="6"/>
  <c r="E17" i="4"/>
  <c r="E40" i="4"/>
  <c r="E60" i="4"/>
  <c r="J58" i="6"/>
  <c r="J54" i="6" l="1"/>
  <c r="L74" i="4"/>
  <c r="T59" i="6"/>
  <c r="E21" i="6"/>
  <c r="O29" i="6"/>
  <c r="L72" i="4"/>
  <c r="T42" i="6"/>
  <c r="Y58" i="6"/>
  <c r="AD58" i="6"/>
  <c r="AI59" i="6"/>
  <c r="E26" i="6"/>
  <c r="G74" i="4"/>
  <c r="O55" i="6"/>
  <c r="T54" i="6"/>
  <c r="E54" i="6"/>
  <c r="T37" i="6"/>
  <c r="Y29" i="6"/>
  <c r="AI58" i="6"/>
  <c r="J24" i="6"/>
  <c r="J56" i="6"/>
  <c r="O50" i="6"/>
  <c r="P50" i="6" s="1"/>
  <c r="E53" i="6"/>
  <c r="E24" i="6"/>
  <c r="Y22" i="6"/>
  <c r="E27" i="6"/>
  <c r="L73" i="4"/>
  <c r="O58" i="6"/>
  <c r="O35" i="6"/>
  <c r="O42" i="6"/>
  <c r="Y23" i="6"/>
  <c r="T26" i="6"/>
  <c r="M74" i="4"/>
  <c r="J27" i="6"/>
  <c r="T27" i="6"/>
  <c r="I74" i="4"/>
  <c r="J53" i="6"/>
  <c r="O28" i="6"/>
  <c r="O45" i="6"/>
  <c r="E43" i="6"/>
  <c r="O53" i="6"/>
  <c r="J61" i="6"/>
  <c r="T43" i="6"/>
  <c r="T29" i="6"/>
  <c r="Y59" i="6"/>
  <c r="Y25" i="6"/>
  <c r="N74" i="4"/>
  <c r="Y27" i="6"/>
  <c r="N72" i="4"/>
  <c r="G72" i="4"/>
  <c r="J57" i="6"/>
  <c r="H74" i="4"/>
  <c r="AI55" i="6"/>
  <c r="J74" i="4"/>
  <c r="AI53" i="6"/>
  <c r="N73" i="4"/>
  <c r="Y24" i="6"/>
  <c r="E60" i="6"/>
  <c r="Y28" i="6"/>
  <c r="AD55" i="6"/>
  <c r="E44" i="6"/>
  <c r="AI52" i="6"/>
  <c r="Y54" i="6"/>
  <c r="O37" i="6"/>
  <c r="AD53" i="6"/>
  <c r="Y60" i="6"/>
  <c r="T60" i="6"/>
  <c r="O60" i="6"/>
  <c r="J72" i="4"/>
  <c r="K72" i="4"/>
  <c r="K74" i="4"/>
  <c r="E59" i="6"/>
  <c r="O61" i="6"/>
  <c r="AI60" i="6"/>
  <c r="J59" i="6"/>
  <c r="Y21" i="6"/>
  <c r="T53" i="6"/>
  <c r="Y53" i="6"/>
  <c r="O44" i="6"/>
  <c r="J55" i="6"/>
  <c r="T55" i="6"/>
  <c r="T38" i="6"/>
  <c r="AI57" i="6"/>
  <c r="O56" i="6"/>
  <c r="I72" i="4"/>
  <c r="AI50" i="6"/>
  <c r="AJ50" i="6" s="1"/>
  <c r="AD50" i="6"/>
  <c r="AE50" i="6" s="1"/>
  <c r="Y61" i="6"/>
  <c r="T21" i="6"/>
  <c r="E37" i="6"/>
  <c r="AD60" i="6"/>
  <c r="O22" i="6"/>
  <c r="O43" i="6"/>
  <c r="O25" i="6"/>
  <c r="Y55" i="6"/>
  <c r="J37" i="6"/>
  <c r="J28" i="6"/>
  <c r="T56" i="6"/>
  <c r="Y18" i="6"/>
  <c r="Z18" i="6" s="1"/>
  <c r="G73" i="4"/>
  <c r="T28" i="6"/>
  <c r="J60" i="6"/>
  <c r="E22" i="6"/>
  <c r="J20" i="6"/>
  <c r="E20" i="6"/>
  <c r="E38" i="6"/>
  <c r="O27" i="6"/>
  <c r="O39" i="6"/>
  <c r="O21" i="6"/>
  <c r="E28" i="6"/>
  <c r="T24" i="6"/>
  <c r="O24" i="6"/>
  <c r="M72" i="4"/>
  <c r="T18" i="6"/>
  <c r="U18" i="6" s="1"/>
  <c r="T44" i="6"/>
  <c r="J43" i="6"/>
  <c r="J52" i="6"/>
  <c r="E57" i="6"/>
  <c r="O57" i="6"/>
  <c r="AD57" i="6"/>
  <c r="J23" i="6"/>
  <c r="O59" i="6"/>
  <c r="H72" i="4"/>
  <c r="J25" i="6"/>
  <c r="T34" i="6"/>
  <c r="U34" i="6" s="1"/>
  <c r="AD59" i="6"/>
  <c r="T61" i="6"/>
  <c r="T57" i="6"/>
  <c r="T40" i="6"/>
  <c r="J40" i="6"/>
  <c r="O18" i="6"/>
  <c r="P18" i="6" s="1"/>
  <c r="E29" i="6"/>
  <c r="S62" i="6"/>
  <c r="E25" i="6"/>
  <c r="E40" i="6"/>
  <c r="Y56" i="6"/>
  <c r="E52" i="6"/>
  <c r="AD61" i="6"/>
  <c r="H46" i="6"/>
  <c r="AD52" i="6"/>
  <c r="E34" i="6"/>
  <c r="F34" i="6" s="1"/>
  <c r="E61" i="6"/>
  <c r="T25" i="6"/>
  <c r="E23" i="6"/>
  <c r="T51" i="6"/>
  <c r="Y50" i="6"/>
  <c r="Z50" i="6" s="1"/>
  <c r="O23" i="6"/>
  <c r="I73" i="4"/>
  <c r="AD56" i="6"/>
  <c r="E39" i="6"/>
  <c r="AI61" i="6"/>
  <c r="E56" i="6"/>
  <c r="T20" i="6"/>
  <c r="J29" i="6"/>
  <c r="J73" i="4"/>
  <c r="J50" i="6"/>
  <c r="K50" i="6" s="1"/>
  <c r="E55" i="6"/>
  <c r="AI56" i="6"/>
  <c r="AC62" i="6"/>
  <c r="O41" i="6"/>
  <c r="T36" i="6"/>
  <c r="T22" i="6"/>
  <c r="O72" i="4"/>
  <c r="Y57" i="6"/>
  <c r="T23" i="6"/>
  <c r="J18" i="6"/>
  <c r="K18" i="6" s="1"/>
  <c r="AD54" i="6"/>
  <c r="H73" i="4"/>
  <c r="O20" i="6"/>
  <c r="E41" i="6"/>
  <c r="K73" i="4"/>
  <c r="J22" i="6"/>
  <c r="E18" i="6"/>
  <c r="F18" i="6" s="1"/>
  <c r="AI54" i="6"/>
  <c r="O40" i="6"/>
  <c r="J44" i="6"/>
  <c r="T50" i="6"/>
  <c r="U50" i="6" s="1"/>
  <c r="J45" i="6"/>
  <c r="I30" i="6"/>
  <c r="T35" i="6"/>
  <c r="J35" i="6"/>
  <c r="O34" i="6"/>
  <c r="P34" i="6" s="1"/>
  <c r="T52" i="6"/>
  <c r="J41" i="6"/>
  <c r="H78" i="6"/>
  <c r="S86" i="6" s="1" a="1"/>
  <c r="S86" i="6" s="1"/>
  <c r="J36" i="6"/>
  <c r="J38" i="6"/>
  <c r="AG62" i="6"/>
  <c r="T39" i="6"/>
  <c r="M46" i="6"/>
  <c r="M73" i="4"/>
  <c r="T41" i="6"/>
  <c r="J39" i="6"/>
  <c r="F74" i="4"/>
  <c r="O36" i="6"/>
  <c r="F78" i="6"/>
  <c r="S85" i="6" s="1" a="1"/>
  <c r="S85" i="6" s="1"/>
  <c r="D72" i="4"/>
  <c r="O38" i="6"/>
  <c r="J34" i="6"/>
  <c r="K34" i="6" s="1"/>
  <c r="K78" i="6"/>
  <c r="S89" i="6" s="1" a="1"/>
  <c r="S89" i="6" s="1"/>
  <c r="R68" i="4"/>
  <c r="H62" i="6"/>
  <c r="R30" i="6"/>
  <c r="D30" i="6"/>
  <c r="O73" i="4"/>
  <c r="Y52" i="6"/>
  <c r="D74" i="4"/>
  <c r="D73" i="4"/>
  <c r="W62" i="6"/>
  <c r="C46" i="6"/>
  <c r="S46" i="6"/>
  <c r="E36" i="6"/>
  <c r="C78" i="6"/>
  <c r="S82" i="6" s="1" a="1"/>
  <c r="S82" i="6" s="1"/>
  <c r="N46" i="6"/>
  <c r="O52" i="6"/>
  <c r="F72" i="4"/>
  <c r="I78" i="6"/>
  <c r="S87" i="6" s="1" a="1"/>
  <c r="S87" i="6" s="1"/>
  <c r="X62" i="6"/>
  <c r="R67" i="4"/>
  <c r="M78" i="6"/>
  <c r="S90" i="6" s="1" a="1"/>
  <c r="S90" i="6" s="1"/>
  <c r="Y20" i="6"/>
  <c r="D78" i="6"/>
  <c r="S83" i="6" s="1" a="1"/>
  <c r="S83" i="6" s="1"/>
  <c r="J78" i="6"/>
  <c r="S88" i="6" s="1" a="1"/>
  <c r="S88" i="6" s="1"/>
  <c r="I46" i="6"/>
  <c r="D62" i="6"/>
  <c r="F73" i="4"/>
  <c r="I62" i="6"/>
  <c r="H30" i="6"/>
  <c r="N30" i="6"/>
  <c r="N78" i="6"/>
  <c r="M62" i="6"/>
  <c r="R46" i="6"/>
  <c r="W30" i="6"/>
  <c r="AI51" i="6"/>
  <c r="O19" i="6"/>
  <c r="R25" i="4"/>
  <c r="E78" i="6"/>
  <c r="S84" i="6" s="1" a="1"/>
  <c r="S84" i="6" s="1"/>
  <c r="O51" i="6"/>
  <c r="T19" i="6"/>
  <c r="R54" i="4"/>
  <c r="Y19" i="6"/>
  <c r="S30" i="6"/>
  <c r="R35" i="4"/>
  <c r="R49" i="4"/>
  <c r="R45" i="4"/>
  <c r="E19" i="6"/>
  <c r="AD51" i="6"/>
  <c r="Y51" i="6"/>
  <c r="AB62" i="6"/>
  <c r="R62" i="6"/>
  <c r="N62" i="6"/>
  <c r="X30" i="6"/>
  <c r="E51" i="6"/>
  <c r="D46" i="6"/>
  <c r="R29" i="4"/>
  <c r="J51" i="6"/>
  <c r="R39" i="4"/>
  <c r="C30" i="6"/>
  <c r="E73" i="4"/>
  <c r="R59" i="4"/>
  <c r="M30" i="6"/>
  <c r="E72" i="4"/>
  <c r="J19" i="6"/>
  <c r="E74" i="4"/>
  <c r="R16" i="4"/>
  <c r="AH62" i="6"/>
  <c r="E35" i="6"/>
  <c r="C62" i="6"/>
  <c r="R7" i="4"/>
  <c r="R72" i="4" s="1"/>
  <c r="L75" i="4" l="1"/>
  <c r="Z19" i="6"/>
  <c r="Z20" i="6" s="1"/>
  <c r="Z21" i="6" s="1"/>
  <c r="Z22" i="6" s="1"/>
  <c r="Z23" i="6" s="1"/>
  <c r="Z24" i="6" s="1"/>
  <c r="Z25" i="6" s="1"/>
  <c r="Z26" i="6" s="1"/>
  <c r="Z27" i="6" s="1"/>
  <c r="Z28" i="6" s="1"/>
  <c r="Z29" i="6" s="1"/>
  <c r="Z30" i="6" s="1"/>
  <c r="O46" i="6"/>
  <c r="N75" i="4"/>
  <c r="G75" i="4"/>
  <c r="P35" i="6"/>
  <c r="P36" i="6" s="1"/>
  <c r="P37" i="6" s="1"/>
  <c r="P38" i="6" s="1"/>
  <c r="P39" i="6" s="1"/>
  <c r="P40" i="6" s="1"/>
  <c r="P41" i="6" s="1"/>
  <c r="P42" i="6" s="1"/>
  <c r="P43" i="6" s="1"/>
  <c r="P44" i="6" s="1"/>
  <c r="P45" i="6" s="1"/>
  <c r="P46" i="6" s="1"/>
  <c r="J75" i="4"/>
  <c r="I75" i="4"/>
  <c r="K75" i="4"/>
  <c r="M75" i="4"/>
  <c r="AE51" i="6"/>
  <c r="AE52" i="6" s="1"/>
  <c r="AE53" i="6" s="1"/>
  <c r="AE54" i="6" s="1"/>
  <c r="AE55" i="6" s="1"/>
  <c r="AE56" i="6" s="1"/>
  <c r="AE57" i="6" s="1"/>
  <c r="AE58" i="6" s="1"/>
  <c r="AE59" i="6" s="1"/>
  <c r="AE60" i="6" s="1"/>
  <c r="AE61" i="6" s="1"/>
  <c r="AJ51" i="6"/>
  <c r="AJ52" i="6" s="1"/>
  <c r="AJ53" i="6" s="1"/>
  <c r="AJ54" i="6" s="1"/>
  <c r="AJ55" i="6" s="1"/>
  <c r="AJ56" i="6" s="1"/>
  <c r="AJ57" i="6" s="1"/>
  <c r="AJ58" i="6" s="1"/>
  <c r="AJ59" i="6" s="1"/>
  <c r="AJ60" i="6" s="1"/>
  <c r="AJ61" i="6" s="1"/>
  <c r="AJ62" i="6" s="1"/>
  <c r="H75" i="4"/>
  <c r="U35" i="6"/>
  <c r="U36" i="6" s="1"/>
  <c r="U37" i="6" s="1"/>
  <c r="U38" i="6" s="1"/>
  <c r="U39" i="6" s="1"/>
  <c r="U40" i="6" s="1"/>
  <c r="U41" i="6" s="1"/>
  <c r="U42" i="6" s="1"/>
  <c r="U43" i="6" s="1"/>
  <c r="U44" i="6" s="1"/>
  <c r="U45" i="6" s="1"/>
  <c r="U46" i="6" s="1"/>
  <c r="J46" i="6"/>
  <c r="P19" i="6"/>
  <c r="P20" i="6" s="1"/>
  <c r="P21" i="6" s="1"/>
  <c r="U51" i="6"/>
  <c r="U52" i="6" s="1"/>
  <c r="U53" i="6" s="1"/>
  <c r="U54" i="6" s="1"/>
  <c r="U55" i="6" s="1"/>
  <c r="U56" i="6" s="1"/>
  <c r="U57" i="6" s="1"/>
  <c r="U58" i="6" s="1"/>
  <c r="U59" i="6" s="1"/>
  <c r="U60" i="6" s="1"/>
  <c r="U61" i="6" s="1"/>
  <c r="E62" i="6"/>
  <c r="K51" i="6"/>
  <c r="K52" i="6" s="1"/>
  <c r="K53" i="6" s="1"/>
  <c r="K54" i="6" s="1"/>
  <c r="K55" i="6" s="1"/>
  <c r="K56" i="6" s="1"/>
  <c r="K57" i="6" s="1"/>
  <c r="K58" i="6" s="1"/>
  <c r="K59" i="6" s="1"/>
  <c r="K60" i="6" s="1"/>
  <c r="K61" i="6" s="1"/>
  <c r="K35" i="6"/>
  <c r="K36" i="6" s="1"/>
  <c r="K37" i="6" s="1"/>
  <c r="K38" i="6" s="1"/>
  <c r="K39" i="6" s="1"/>
  <c r="K40" i="6" s="1"/>
  <c r="K41" i="6" s="1"/>
  <c r="K42" i="6" s="1"/>
  <c r="K43" i="6" s="1"/>
  <c r="K44" i="6" s="1"/>
  <c r="K45" i="6" s="1"/>
  <c r="K46" i="6" s="1"/>
  <c r="O75" i="4"/>
  <c r="J30" i="6"/>
  <c r="D75" i="4"/>
  <c r="T46" i="6"/>
  <c r="R74" i="4"/>
  <c r="U19" i="6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T30" i="6"/>
  <c r="E30" i="6"/>
  <c r="Y62" i="6"/>
  <c r="E46" i="6"/>
  <c r="F75" i="4"/>
  <c r="O62" i="6"/>
  <c r="Y30" i="6"/>
  <c r="O30" i="6"/>
  <c r="T2" i="6"/>
  <c r="S2" i="6" s="1"/>
  <c r="AI62" i="6"/>
  <c r="E75" i="4"/>
  <c r="F19" i="6"/>
  <c r="K19" i="6"/>
  <c r="K20" i="6" s="1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T62" i="6"/>
  <c r="P51" i="6"/>
  <c r="P52" i="6" s="1"/>
  <c r="P53" i="6" s="1"/>
  <c r="P54" i="6" s="1"/>
  <c r="P55" i="6" s="1"/>
  <c r="P56" i="6" s="1"/>
  <c r="P57" i="6" s="1"/>
  <c r="P58" i="6" s="1"/>
  <c r="P59" i="6" s="1"/>
  <c r="P60" i="6" s="1"/>
  <c r="P61" i="6" s="1"/>
  <c r="AD62" i="6"/>
  <c r="Z51" i="6"/>
  <c r="Z52" i="6" s="1"/>
  <c r="Z53" i="6" s="1"/>
  <c r="Z54" i="6" s="1"/>
  <c r="Z55" i="6" s="1"/>
  <c r="Z56" i="6" s="1"/>
  <c r="Z57" i="6" s="1"/>
  <c r="Z58" i="6" s="1"/>
  <c r="Z59" i="6" s="1"/>
  <c r="Z60" i="6" s="1"/>
  <c r="Z61" i="6" s="1"/>
  <c r="J62" i="6"/>
  <c r="F51" i="6"/>
  <c r="R73" i="4"/>
  <c r="F35" i="6"/>
  <c r="F36" i="6" s="1"/>
  <c r="F37" i="6" s="1"/>
  <c r="F38" i="6" s="1"/>
  <c r="F39" i="6" s="1"/>
  <c r="F40" i="6" s="1"/>
  <c r="F41" i="6" s="1"/>
  <c r="F42" i="6" s="1"/>
  <c r="F43" i="6" s="1"/>
  <c r="F44" i="6" s="1"/>
  <c r="F45" i="6" s="1"/>
  <c r="F46" i="6" s="1"/>
  <c r="R75" i="4" l="1"/>
  <c r="T3" i="6"/>
  <c r="S3" i="6" s="1"/>
  <c r="D83" i="6" a="1"/>
  <c r="D83" i="6" s="1"/>
  <c r="B12" i="7" s="1"/>
  <c r="P22" i="6"/>
  <c r="P23" i="6" s="1"/>
  <c r="P24" i="6" s="1"/>
  <c r="P25" i="6" s="1"/>
  <c r="P26" i="6" s="1"/>
  <c r="P27" i="6" s="1"/>
  <c r="P28" i="6" s="1"/>
  <c r="P29" i="6" s="1"/>
  <c r="P30" i="6" s="1"/>
  <c r="F52" i="6"/>
  <c r="F53" i="6" s="1"/>
  <c r="F54" i="6" s="1"/>
  <c r="F55" i="6" s="1"/>
  <c r="F56" i="6" s="1"/>
  <c r="F57" i="6" s="1"/>
  <c r="F58" i="6" s="1"/>
  <c r="F59" i="6" s="1"/>
  <c r="F60" i="6" s="1"/>
  <c r="F61" i="6" s="1"/>
  <c r="D85" i="6" a="1"/>
  <c r="D85" i="6" s="1"/>
  <c r="B20" i="7" s="1"/>
  <c r="I84" i="6" a="1"/>
  <c r="I84" i="6" s="1"/>
  <c r="N9" i="7" s="1"/>
  <c r="I83" i="6" a="1"/>
  <c r="I83" i="6" s="1"/>
  <c r="J9" i="7" s="1"/>
  <c r="I82" i="6" a="1"/>
  <c r="I82" i="6" s="1"/>
  <c r="F9" i="7" s="1"/>
  <c r="K62" i="6"/>
  <c r="N83" i="6" s="1" a="1"/>
  <c r="N83" i="6" s="1"/>
  <c r="J16" i="7" s="1"/>
  <c r="AE62" i="6"/>
  <c r="N87" i="6" s="1" a="1"/>
  <c r="N87" i="6" s="1"/>
  <c r="N20" i="7" s="1"/>
  <c r="P62" i="6"/>
  <c r="N84" i="6" s="1" a="1"/>
  <c r="N84" i="6" s="1"/>
  <c r="N16" i="7" s="1"/>
  <c r="U62" i="6"/>
  <c r="N85" i="6" s="1" a="1"/>
  <c r="N85" i="6" s="1"/>
  <c r="F20" i="7" s="1"/>
  <c r="Z62" i="6"/>
  <c r="N86" i="6" s="1" a="1"/>
  <c r="N86" i="6" s="1"/>
  <c r="J20" i="7" s="1"/>
  <c r="F20" i="6"/>
  <c r="T4" i="6" l="1"/>
  <c r="S4" i="6" s="1"/>
  <c r="D84" i="6" a="1"/>
  <c r="D84" i="6" s="1"/>
  <c r="B16" i="7" s="1"/>
  <c r="F62" i="6"/>
  <c r="N82" i="6" s="1" a="1"/>
  <c r="N82" i="6" s="1"/>
  <c r="F16" i="7" s="1"/>
  <c r="F21" i="6"/>
  <c r="T5" i="6" s="1"/>
  <c r="S5" i="6" l="1"/>
  <c r="F22" i="6"/>
  <c r="T6" i="6" s="1"/>
  <c r="S6" i="6" l="1"/>
  <c r="F23" i="6"/>
  <c r="T7" i="6" s="1"/>
  <c r="S7" i="6" l="1"/>
  <c r="F24" i="6"/>
  <c r="T8" i="6" s="1"/>
  <c r="S8" i="6" l="1"/>
  <c r="F25" i="6"/>
  <c r="T9" i="6" s="1"/>
  <c r="S9" i="6" l="1"/>
  <c r="F26" i="6"/>
  <c r="T10" i="6" s="1"/>
  <c r="S10" i="6" l="1"/>
  <c r="F27" i="6"/>
  <c r="T11" i="6" s="1"/>
  <c r="S11" i="6" l="1"/>
  <c r="F28" i="6"/>
  <c r="T12" i="6" s="1"/>
  <c r="S12" i="6" l="1"/>
  <c r="F29" i="6"/>
  <c r="T13" i="6" l="1"/>
  <c r="S13" i="6" s="1"/>
  <c r="F30" i="6"/>
  <c r="D82" i="6" s="1" a="1"/>
  <c r="D82" i="6" s="1"/>
  <c r="B8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<sst xmlns="http://schemas.openxmlformats.org/spreadsheetml/2006/main" count="537" uniqueCount="206">
  <si>
    <t>Ordem</t>
  </si>
  <si>
    <t>Descrição</t>
  </si>
  <si>
    <t>Orçamento</t>
  </si>
  <si>
    <t>Investimentos</t>
  </si>
  <si>
    <t>Básico</t>
  </si>
  <si>
    <t>Curto</t>
  </si>
  <si>
    <t>Casa</t>
  </si>
  <si>
    <t>Médio</t>
  </si>
  <si>
    <t>Alimentação</t>
  </si>
  <si>
    <t>Longo</t>
  </si>
  <si>
    <t>Transporte</t>
  </si>
  <si>
    <t>Reserva</t>
  </si>
  <si>
    <t>Saúde</t>
  </si>
  <si>
    <t>Pet</t>
  </si>
  <si>
    <t>Taxas</t>
  </si>
  <si>
    <t>Educação</t>
  </si>
  <si>
    <t>Pessoais</t>
  </si>
  <si>
    <t>Viagem</t>
  </si>
  <si>
    <t>Diversos</t>
  </si>
  <si>
    <t>Lazer</t>
  </si>
  <si>
    <t>Outros</t>
  </si>
  <si>
    <t>ABA</t>
  </si>
  <si>
    <t>Campo</t>
  </si>
  <si>
    <t>Ano</t>
  </si>
  <si>
    <t>Link</t>
  </si>
  <si>
    <t>Despesas</t>
  </si>
  <si>
    <t>Reserva de Emergência (Meses)</t>
  </si>
  <si>
    <t>Não Básico</t>
  </si>
  <si>
    <t>Cuidados Pessoais</t>
  </si>
  <si>
    <t>Bares e Restuarantes</t>
  </si>
  <si>
    <t>Livros</t>
  </si>
  <si>
    <t>Orçamento Despesas</t>
  </si>
  <si>
    <t>Orçamento Investimento</t>
  </si>
  <si>
    <t>Curto prazo</t>
  </si>
  <si>
    <t>Médio prazo</t>
  </si>
  <si>
    <t>Longo prazo</t>
  </si>
  <si>
    <t>Reserva de emergência</t>
  </si>
  <si>
    <t>Calculadora de Investimentos</t>
  </si>
  <si>
    <t>Valor da Renda</t>
  </si>
  <si>
    <t>Categoria</t>
  </si>
  <si>
    <t>Valor para Guardar</t>
  </si>
  <si>
    <t>RENDA</t>
  </si>
  <si>
    <t>Salário 1</t>
  </si>
  <si>
    <t>Salário 2</t>
  </si>
  <si>
    <t>Bônus</t>
  </si>
  <si>
    <t>Restituição IR</t>
  </si>
  <si>
    <t>Rendimentos</t>
  </si>
  <si>
    <t>CASA</t>
  </si>
  <si>
    <t>Aluguel</t>
  </si>
  <si>
    <t>Água</t>
  </si>
  <si>
    <t>Luz</t>
  </si>
  <si>
    <t>Internet/Celular</t>
  </si>
  <si>
    <t>IPTU</t>
  </si>
  <si>
    <t>Seguro Residencial</t>
  </si>
  <si>
    <t>Utensílios</t>
  </si>
  <si>
    <t>ALIMENTAÇÃO</t>
  </si>
  <si>
    <t>Supermercado</t>
  </si>
  <si>
    <t>App de entrega</t>
  </si>
  <si>
    <t>TRANSPORTE</t>
  </si>
  <si>
    <t>SAÚDE</t>
  </si>
  <si>
    <t>Plano de saúde</t>
  </si>
  <si>
    <t>Farmácia</t>
  </si>
  <si>
    <t>PESSOAIS</t>
  </si>
  <si>
    <t>Vestuário</t>
  </si>
  <si>
    <t>Estética</t>
  </si>
  <si>
    <t>Academia</t>
  </si>
  <si>
    <t>Equipamentos</t>
  </si>
  <si>
    <t>EDUCAÇÃO</t>
  </si>
  <si>
    <t>Cursos e Certificações</t>
  </si>
  <si>
    <t>LAZER</t>
  </si>
  <si>
    <t>Assinaturas</t>
  </si>
  <si>
    <t>Bares e Restaurantes</t>
  </si>
  <si>
    <t>DIVERSOS</t>
  </si>
  <si>
    <t>Presentes</t>
  </si>
  <si>
    <t>Doações</t>
  </si>
  <si>
    <t>TAXAS</t>
  </si>
  <si>
    <t>Bancárias</t>
  </si>
  <si>
    <t>Impostos</t>
  </si>
  <si>
    <t>IR</t>
  </si>
  <si>
    <t>Corretagem</t>
  </si>
  <si>
    <t>Públicos</t>
  </si>
  <si>
    <t>Privados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</si>
  <si>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</si>
  <si>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</si>
  <si>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</si>
  <si>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</si>
  <si>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</si>
  <si>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</si>
  <si>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</si>
  <si>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</si>
  <si>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</si>
  <si>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</si>
  <si>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</si>
  <si>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</si>
  <si>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MESES</t>
  </si>
  <si>
    <t>ANO</t>
  </si>
  <si>
    <t>PROJETADO</t>
  </si>
  <si>
    <t>REALIZADO</t>
  </si>
  <si>
    <t>RECEITAS</t>
  </si>
  <si>
    <t>DESPESAS</t>
  </si>
  <si>
    <t>INVESTIMENTOS</t>
  </si>
  <si>
    <t>RESUMO CONSOLIDADO</t>
  </si>
  <si>
    <t>Renda</t>
  </si>
  <si>
    <t>SALDO</t>
  </si>
  <si>
    <t>RESUMO</t>
  </si>
  <si>
    <t>Aplicação</t>
  </si>
  <si>
    <t>Resgate</t>
  </si>
  <si>
    <t>CATEGORIA</t>
  </si>
  <si>
    <t>SUBCATEGORIA</t>
  </si>
  <si>
    <t>CONTA</t>
  </si>
  <si>
    <t>Mês</t>
  </si>
  <si>
    <t>Viagens</t>
  </si>
  <si>
    <t>Transferência</t>
  </si>
  <si>
    <t>Seguro residencial</t>
  </si>
  <si>
    <t>Entrada</t>
  </si>
  <si>
    <t>Saída</t>
  </si>
  <si>
    <t>Público</t>
  </si>
  <si>
    <t>Privado</t>
  </si>
  <si>
    <t>Combustível</t>
  </si>
  <si>
    <t>Manutenção</t>
  </si>
  <si>
    <t>Conta Corrente 1</t>
  </si>
  <si>
    <t>Índice</t>
  </si>
  <si>
    <t>Seleção</t>
  </si>
  <si>
    <t>Data Incial</t>
  </si>
  <si>
    <t>Data Final</t>
  </si>
  <si>
    <t>JAN</t>
  </si>
  <si>
    <t>SALDO FINAL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</si>
  <si>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</si>
  <si>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</si>
  <si>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</si>
  <si>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</si>
  <si>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</si>
  <si>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</si>
  <si>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</si>
  <si>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</si>
  <si>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</si>
  <si>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</si>
  <si>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</si>
  <si>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ACUMULADO</t>
  </si>
  <si>
    <t>ENTRADA</t>
  </si>
  <si>
    <t>SAÍDA</t>
  </si>
  <si>
    <t>MÊS</t>
  </si>
  <si>
    <t>DATA</t>
  </si>
  <si>
    <t>VALOR</t>
  </si>
  <si>
    <t>DESCRIÇÃO</t>
  </si>
  <si>
    <t>Conta Corrente 2</t>
  </si>
  <si>
    <t>Carteira 1</t>
  </si>
  <si>
    <t>Carteira 2</t>
  </si>
  <si>
    <t>Projeção</t>
  </si>
  <si>
    <t>Valor Mensal</t>
  </si>
  <si>
    <t>Deseja incluir despesas não básicas e Lazer?</t>
  </si>
  <si>
    <t>Total</t>
  </si>
  <si>
    <t>-</t>
  </si>
  <si>
    <t>Digitar o ano que vai utilizar a planilha (Uma planilha por ano)</t>
  </si>
  <si>
    <t>Definir o percentual que é de despesas e investimentos</t>
  </si>
  <si>
    <t>Reserva de Emergência</t>
  </si>
  <si>
    <t>Definir quanto tempo, em meses, para a reserva de emergência</t>
  </si>
  <si>
    <t>Escolher se deve contar somente as despesas básicas ou todas as despesas</t>
  </si>
  <si>
    <t>Definir o percentual para cada tipo de despesas</t>
  </si>
  <si>
    <t>Orçamento Investimeno</t>
  </si>
  <si>
    <t>Definir o percentual para cada tipo de investimento</t>
  </si>
  <si>
    <t>Fazer uma projeção básica de quanto de renda, despesa e o quanto gostaria de investir (aplicar)</t>
  </si>
  <si>
    <t>Calculadora de Investimento</t>
  </si>
  <si>
    <t>Preencher com o valor da renda do mês e verificar o montande que deve ser destinado para cada tipo de investimento</t>
  </si>
  <si>
    <t>Contas</t>
  </si>
  <si>
    <t>Cartão de Crédito 1</t>
  </si>
  <si>
    <t>Cartão de Crédito 2</t>
  </si>
  <si>
    <t>Cartão de Crédito 3</t>
  </si>
  <si>
    <t>A planilha está protegida com senha para que não seja alterado os campos com fórmulas, só desbloquear caso necessário. Se precisar mudar algo, prefira me contactar. (senha da planilha: DG1990)</t>
  </si>
  <si>
    <t>Conta</t>
  </si>
  <si>
    <t>Cartões de Crédito</t>
  </si>
  <si>
    <t>Restart</t>
  </si>
  <si>
    <t>Caso deseje iniciar a planilha do zero (PERDE TUDO).</t>
  </si>
  <si>
    <t>Redefinir os nomes das contas (Nubnak, Itaú, minha carteira, carteira esposa, Cartão Santander e etc) e defina o Saldo da conta no último dia do ano anterior</t>
  </si>
  <si>
    <t>Saldo</t>
  </si>
  <si>
    <t>Cartão de Crédito</t>
  </si>
  <si>
    <t>Renomei os cartões</t>
  </si>
  <si>
    <t>Definir saldo de investimentos</t>
  </si>
  <si>
    <t>Vídeo Tutorial</t>
  </si>
  <si>
    <t>Dados</t>
  </si>
  <si>
    <t>Subcategoria</t>
  </si>
  <si>
    <t>Valor</t>
  </si>
  <si>
    <t>Data</t>
  </si>
  <si>
    <t>Selecionar uma das contas definidas</t>
  </si>
  <si>
    <t>Selecionar uma das categorias definidas</t>
  </si>
  <si>
    <t>Selecionar uma das subcategorias definidas</t>
  </si>
  <si>
    <t>Descrever qual foi a renda ou o gasto para se lembrar. (Pode ser o nome no extrado do banco ou do cartão de Crédito</t>
  </si>
  <si>
    <t>Digitar o valor da renda ou gasto, não utilizar ponto, somente vírgula. (Ex.: 120,32  ou 15963,00 - A célular automaticamente mudará para 15.963,00)</t>
  </si>
  <si>
    <t>Selecionar a datas da renda ou gasto. Sugiro que para cartões de crédito seja colocada a data de vencimento do cartão)</t>
  </si>
  <si>
    <t>Dashboard</t>
  </si>
  <si>
    <t>Resumo</t>
  </si>
  <si>
    <t>Nesta aba será possível verificar como está o seu planejamento por meio de gráfico, podendo selecionar mês a mês ou um saldo final (Ano inteiro)</t>
  </si>
  <si>
    <t xml:space="preserve">Nesta aba será possível verificar todos os valores gastos em cada categoria e subcategoria e ver como está o realizando frente ao projetado, bem como o saldo. </t>
  </si>
  <si>
    <t>As só alterar os valores das células em azul, como esta ----------------------&gt;</t>
  </si>
  <si>
    <t>CC</t>
  </si>
  <si>
    <t>Investimento</t>
  </si>
  <si>
    <t>Despesa</t>
  </si>
  <si>
    <t>Realizado</t>
  </si>
  <si>
    <t>Projetado</t>
  </si>
  <si>
    <t>Patrimônio</t>
  </si>
  <si>
    <t>CARTÕES DE CRÉDITO</t>
  </si>
  <si>
    <t>CONTAS</t>
  </si>
  <si>
    <t>Column1</t>
  </si>
  <si>
    <t>Check</t>
  </si>
  <si>
    <t>nbgf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</si>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</sst>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 &quot;€&quot;\ * #,##0.00_ ;_ &quot;€&quot;\ * \-#,##0.00_ ;_ &quot;€&quot;\ * &quot;-&quot;??_ ;_ @_ "/>
    <numFmt numFmtId="164" formatCode="_-[$R$-416]\ * #,##0.00_-;\-[$R$-416]\ * #,##0.00_-;_-[$R$-416]\ * &quot;-&quot;??_-;_-@_-"/>
    <numFmt numFmtId="165" formatCode="#,##0.00;[Red]#,##0.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Arial"/>
      <family val="2"/>
    </font>
    <font>
      <sz val="28"/>
      <color theme="5"/>
      <name val="Arial"/>
      <family val="2"/>
    </font>
    <font>
      <b/>
      <sz val="12"/>
      <color theme="0"/>
      <name val="Arial"/>
      <family val="2"/>
    </font>
    <font>
      <b/>
      <sz val="12"/>
      <color rgb="FF7030A0"/>
      <name val="Calibri"/>
      <family val="2"/>
      <scheme val="minor"/>
    </font>
    <font>
      <b/>
      <sz val="12"/>
      <color theme="5"/>
      <name val="Calibri"/>
      <family val="2"/>
      <scheme val="minor"/>
    </font>
    <font>
      <b/>
      <sz val="12"/>
      <color theme="9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 style="thin">
        <color theme="2"/>
      </right>
      <top/>
      <bottom style="thin">
        <color auto="1"/>
      </bottom>
      <diagonal/>
    </border>
    <border>
      <left/>
      <right style="thin">
        <color theme="2"/>
      </right>
      <top style="thin">
        <color auto="1"/>
      </top>
      <bottom style="thin">
        <color auto="1"/>
      </bottom>
      <diagonal/>
    </border>
    <border>
      <left/>
      <right style="thin">
        <color theme="2"/>
      </right>
      <top style="thin">
        <color auto="1"/>
      </top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medium">
        <color theme="0" tint="-0.14999847407452621"/>
      </left>
      <right/>
      <top/>
      <bottom/>
      <diagonal/>
    </border>
    <border>
      <left/>
      <right style="medium">
        <color theme="0" tint="-0.14999847407452621"/>
      </right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/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 style="medium">
        <color theme="0" tint="-0.1499984740745262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80">
    <xf numFmtId="0" fontId="0" fillId="0" borderId="0" xfId="0"/>
    <xf numFmtId="10" fontId="0" fillId="0" borderId="0" xfId="0" applyNumberFormat="1"/>
    <xf numFmtId="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5" borderId="1" xfId="2" applyFont="1" applyFill="1" applyBorder="1" applyAlignment="1">
      <alignment horizontal="center" vertical="center"/>
    </xf>
    <xf numFmtId="164" fontId="0" fillId="0" borderId="1" xfId="0" applyNumberFormat="1" applyBorder="1"/>
    <xf numFmtId="0" fontId="3" fillId="8" borderId="1" xfId="0" applyFont="1" applyFill="1" applyBorder="1" applyAlignment="1">
      <alignment horizontal="center"/>
    </xf>
    <xf numFmtId="0" fontId="0" fillId="9" borderId="1" xfId="0" applyFill="1" applyBorder="1"/>
    <xf numFmtId="164" fontId="0" fillId="9" borderId="1" xfId="0" applyNumberFormat="1" applyFill="1" applyBorder="1"/>
    <xf numFmtId="164" fontId="0" fillId="9" borderId="1" xfId="1" applyNumberFormat="1" applyFont="1" applyFill="1" applyBorder="1"/>
    <xf numFmtId="0" fontId="3" fillId="10" borderId="0" xfId="0" applyFont="1" applyFill="1"/>
    <xf numFmtId="0" fontId="4" fillId="11" borderId="7" xfId="0" applyFont="1" applyFill="1" applyBorder="1"/>
    <xf numFmtId="0" fontId="4" fillId="11" borderId="8" xfId="0" applyFont="1" applyFill="1" applyBorder="1"/>
    <xf numFmtId="0" fontId="4" fillId="11" borderId="3" xfId="0" applyFont="1" applyFill="1" applyBorder="1"/>
    <xf numFmtId="0" fontId="2" fillId="8" borderId="0" xfId="0" applyFont="1" applyFill="1" applyAlignment="1">
      <alignment horizontal="center"/>
    </xf>
    <xf numFmtId="0" fontId="2" fillId="10" borderId="0" xfId="0" applyFont="1" applyFill="1" applyAlignment="1">
      <alignment horizontal="center" vertical="center"/>
    </xf>
    <xf numFmtId="0" fontId="2" fillId="10" borderId="0" xfId="0" applyFont="1" applyFill="1"/>
    <xf numFmtId="0" fontId="0" fillId="0" borderId="9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4" fontId="0" fillId="0" borderId="4" xfId="0" applyNumberForma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4" fontId="0" fillId="0" borderId="2" xfId="0" applyNumberFormat="1" applyBorder="1" applyAlignment="1">
      <alignment horizontal="center"/>
    </xf>
    <xf numFmtId="4" fontId="0" fillId="8" borderId="11" xfId="0" applyNumberFormat="1" applyFill="1" applyBorder="1" applyAlignment="1">
      <alignment horizontal="center"/>
    </xf>
    <xf numFmtId="4" fontId="0" fillId="8" borderId="5" xfId="0" applyNumberFormat="1" applyFill="1" applyBorder="1" applyAlignment="1">
      <alignment horizontal="center"/>
    </xf>
    <xf numFmtId="4" fontId="0" fillId="0" borderId="1" xfId="0" applyNumberFormat="1" applyBorder="1" applyAlignment="1">
      <alignment horizontal="center" vertical="center"/>
    </xf>
    <xf numFmtId="4" fontId="0" fillId="6" borderId="1" xfId="0" applyNumberFormat="1" applyFill="1" applyBorder="1" applyAlignment="1">
      <alignment horizontal="center" vertical="center"/>
    </xf>
    <xf numFmtId="4" fontId="0" fillId="14" borderId="0" xfId="0" applyNumberFormat="1" applyFill="1" applyAlignment="1">
      <alignment horizontal="center" vertical="center"/>
    </xf>
    <xf numFmtId="4" fontId="0" fillId="14" borderId="1" xfId="0" applyNumberFormat="1" applyFill="1" applyBorder="1" applyAlignment="1">
      <alignment horizontal="center" vertical="center"/>
    </xf>
    <xf numFmtId="14" fontId="3" fillId="0" borderId="0" xfId="0" applyNumberFormat="1" applyFont="1" applyAlignment="1">
      <alignment horizontal="center"/>
    </xf>
    <xf numFmtId="0" fontId="3" fillId="16" borderId="1" xfId="0" applyFont="1" applyFill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4" fontId="4" fillId="11" borderId="9" xfId="0" applyNumberFormat="1" applyFont="1" applyFill="1" applyBorder="1" applyAlignment="1">
      <alignment horizontal="center" vertical="center"/>
    </xf>
    <xf numFmtId="14" fontId="0" fillId="11" borderId="1" xfId="0" applyNumberFormat="1" applyFill="1" applyBorder="1" applyAlignment="1">
      <alignment horizontal="center" vertical="center"/>
    </xf>
    <xf numFmtId="14" fontId="0" fillId="15" borderId="1" xfId="0" applyNumberFormat="1" applyFill="1" applyBorder="1" applyAlignment="1">
      <alignment horizontal="center" vertical="center"/>
    </xf>
    <xf numFmtId="165" fontId="8" fillId="13" borderId="12" xfId="0" applyNumberFormat="1" applyFont="1" applyFill="1" applyBorder="1" applyAlignment="1">
      <alignment horizontal="center" vertical="center"/>
    </xf>
    <xf numFmtId="4" fontId="4" fillId="11" borderId="9" xfId="0" applyNumberFormat="1" applyFont="1" applyFill="1" applyBorder="1" applyAlignment="1">
      <alignment horizontal="center"/>
    </xf>
    <xf numFmtId="0" fontId="4" fillId="10" borderId="0" xfId="0" applyFont="1" applyFill="1" applyAlignment="1">
      <alignment horizontal="center"/>
    </xf>
    <xf numFmtId="0" fontId="4" fillId="11" borderId="4" xfId="0" applyFont="1" applyFill="1" applyBorder="1" applyAlignment="1">
      <alignment horizontal="center"/>
    </xf>
    <xf numFmtId="39" fontId="3" fillId="10" borderId="0" xfId="0" applyNumberFormat="1" applyFont="1" applyFill="1" applyAlignment="1">
      <alignment horizontal="center" vertical="center"/>
    </xf>
    <xf numFmtId="4" fontId="4" fillId="11" borderId="4" xfId="0" applyNumberFormat="1" applyFont="1" applyFill="1" applyBorder="1" applyAlignment="1">
      <alignment horizontal="center"/>
    </xf>
    <xf numFmtId="0" fontId="2" fillId="8" borderId="0" xfId="0" applyFont="1" applyFill="1"/>
    <xf numFmtId="39" fontId="3" fillId="8" borderId="1" xfId="0" applyNumberFormat="1" applyFont="1" applyFill="1" applyBorder="1" applyAlignment="1">
      <alignment horizontal="center" vertical="center"/>
    </xf>
    <xf numFmtId="165" fontId="8" fillId="13" borderId="17" xfId="0" applyNumberFormat="1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4" fontId="0" fillId="6" borderId="11" xfId="0" applyNumberFormat="1" applyFill="1" applyBorder="1" applyAlignment="1">
      <alignment horizontal="center" vertical="center"/>
    </xf>
    <xf numFmtId="4" fontId="0" fillId="6" borderId="5" xfId="0" applyNumberFormat="1" applyFill="1" applyBorder="1" applyAlignment="1">
      <alignment horizontal="center" vertical="center"/>
    </xf>
    <xf numFmtId="0" fontId="2" fillId="19" borderId="1" xfId="0" applyFont="1" applyFill="1" applyBorder="1" applyAlignment="1">
      <alignment horizontal="center" vertical="center"/>
    </xf>
    <xf numFmtId="4" fontId="3" fillId="19" borderId="1" xfId="0" applyNumberFormat="1" applyFont="1" applyFill="1" applyBorder="1" applyAlignment="1">
      <alignment horizontal="center" vertical="center"/>
    </xf>
    <xf numFmtId="0" fontId="3" fillId="20" borderId="1" xfId="0" applyFont="1" applyFill="1" applyBorder="1" applyAlignment="1">
      <alignment horizontal="center"/>
    </xf>
    <xf numFmtId="0" fontId="0" fillId="21" borderId="1" xfId="0" applyFill="1" applyBorder="1"/>
    <xf numFmtId="164" fontId="3" fillId="20" borderId="1" xfId="0" applyNumberFormat="1" applyFont="1" applyFill="1" applyBorder="1" applyAlignment="1">
      <alignment horizontal="center"/>
    </xf>
    <xf numFmtId="164" fontId="0" fillId="0" borderId="0" xfId="0" applyNumberFormat="1"/>
    <xf numFmtId="164" fontId="0" fillId="13" borderId="1" xfId="0" applyNumberFormat="1" applyFill="1" applyBorder="1"/>
    <xf numFmtId="9" fontId="4" fillId="13" borderId="1" xfId="2" applyFont="1" applyFill="1" applyBorder="1" applyAlignment="1">
      <alignment horizontal="center" vertical="center"/>
    </xf>
    <xf numFmtId="1" fontId="4" fillId="13" borderId="1" xfId="0" applyNumberFormat="1" applyFont="1" applyFill="1" applyBorder="1" applyAlignment="1">
      <alignment horizontal="center" vertical="center"/>
    </xf>
    <xf numFmtId="164" fontId="4" fillId="13" borderId="1" xfId="0" applyNumberFormat="1" applyFont="1" applyFill="1" applyBorder="1"/>
    <xf numFmtId="0" fontId="0" fillId="22" borderId="1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39" fontId="0" fillId="0" borderId="1" xfId="0" applyNumberFormat="1" applyBorder="1" applyAlignment="1">
      <alignment horizontal="center" vertical="center"/>
    </xf>
    <xf numFmtId="39" fontId="0" fillId="23" borderId="1" xfId="0" applyNumberFormat="1" applyFill="1" applyBorder="1" applyAlignment="1">
      <alignment horizontal="center" vertical="center"/>
    </xf>
    <xf numFmtId="0" fontId="0" fillId="17" borderId="16" xfId="0" applyFill="1" applyBorder="1" applyAlignment="1">
      <alignment horizontal="center"/>
    </xf>
    <xf numFmtId="0" fontId="0" fillId="18" borderId="16" xfId="0" applyFill="1" applyBorder="1" applyAlignment="1">
      <alignment horizontal="center"/>
    </xf>
    <xf numFmtId="0" fontId="0" fillId="8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13" borderId="0" xfId="0" applyFill="1" applyAlignment="1">
      <alignment horizontal="center" vertical="center"/>
    </xf>
    <xf numFmtId="0" fontId="0" fillId="13" borderId="1" xfId="0" applyFill="1" applyBorder="1"/>
    <xf numFmtId="164" fontId="0" fillId="13" borderId="1" xfId="1" applyNumberFormat="1" applyFont="1" applyFill="1" applyBorder="1"/>
    <xf numFmtId="0" fontId="0" fillId="12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14" borderId="1" xfId="0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3" fillId="26" borderId="1" xfId="0" applyFont="1" applyFill="1" applyBorder="1" applyAlignment="1">
      <alignment horizontal="center" vertical="center"/>
    </xf>
    <xf numFmtId="39" fontId="0" fillId="12" borderId="1" xfId="0" applyNumberFormat="1" applyFill="1" applyBorder="1" applyAlignment="1">
      <alignment horizontal="center" vertical="center"/>
    </xf>
    <xf numFmtId="39" fontId="0" fillId="24" borderId="1" xfId="0" applyNumberFormat="1" applyFill="1" applyBorder="1" applyAlignment="1">
      <alignment horizontal="center" vertical="center"/>
    </xf>
    <xf numFmtId="39" fontId="0" fillId="25" borderId="1" xfId="0" applyNumberFormat="1" applyFill="1" applyBorder="1" applyAlignment="1">
      <alignment horizontal="center" vertical="center"/>
    </xf>
    <xf numFmtId="0" fontId="4" fillId="27" borderId="0" xfId="0" applyFont="1" applyFill="1"/>
    <xf numFmtId="0" fontId="4" fillId="27" borderId="19" xfId="0" applyFont="1" applyFill="1" applyBorder="1"/>
    <xf numFmtId="0" fontId="4" fillId="27" borderId="18" xfId="0" applyFont="1" applyFill="1" applyBorder="1"/>
    <xf numFmtId="0" fontId="4" fillId="27" borderId="21" xfId="0" applyFont="1" applyFill="1" applyBorder="1"/>
    <xf numFmtId="0" fontId="4" fillId="27" borderId="29" xfId="0" applyFont="1" applyFill="1" applyBorder="1"/>
    <xf numFmtId="0" fontId="4" fillId="27" borderId="25" xfId="0" applyFont="1" applyFill="1" applyBorder="1"/>
    <xf numFmtId="14" fontId="0" fillId="15" borderId="2" xfId="0" applyNumberFormat="1" applyFill="1" applyBorder="1" applyAlignment="1">
      <alignment horizontal="center" vertical="center"/>
    </xf>
    <xf numFmtId="1" fontId="3" fillId="21" borderId="0" xfId="0" applyNumberFormat="1" applyFont="1" applyFill="1"/>
    <xf numFmtId="0" fontId="0" fillId="17" borderId="30" xfId="0" applyFill="1" applyBorder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4" fontId="0" fillId="17" borderId="32" xfId="0" applyNumberFormat="1" applyFill="1" applyBorder="1" applyAlignment="1">
      <alignment horizontal="center" vertical="center"/>
    </xf>
    <xf numFmtId="14" fontId="0" fillId="17" borderId="31" xfId="0" applyNumberFormat="1" applyFill="1" applyBorder="1" applyAlignment="1">
      <alignment horizontal="center" vertical="center"/>
    </xf>
    <xf numFmtId="0" fontId="14" fillId="27" borderId="24" xfId="0" applyFont="1" applyFill="1" applyBorder="1" applyAlignment="1">
      <alignment horizontal="center"/>
    </xf>
    <xf numFmtId="0" fontId="14" fillId="27" borderId="25" xfId="0" applyFont="1" applyFill="1" applyBorder="1" applyAlignment="1">
      <alignment horizontal="center"/>
    </xf>
    <xf numFmtId="0" fontId="14" fillId="27" borderId="23" xfId="0" applyFont="1" applyFill="1" applyBorder="1" applyAlignment="1">
      <alignment horizontal="center"/>
    </xf>
    <xf numFmtId="39" fontId="15" fillId="27" borderId="20" xfId="0" applyNumberFormat="1" applyFont="1" applyFill="1" applyBorder="1" applyAlignment="1">
      <alignment horizontal="center" vertical="center"/>
    </xf>
    <xf numFmtId="0" fontId="15" fillId="27" borderId="21" xfId="0" applyFont="1" applyFill="1" applyBorder="1" applyAlignment="1">
      <alignment horizontal="center" vertical="center"/>
    </xf>
    <xf numFmtId="0" fontId="15" fillId="27" borderId="22" xfId="0" applyFont="1" applyFill="1" applyBorder="1" applyAlignment="1">
      <alignment horizontal="center" vertical="center"/>
    </xf>
    <xf numFmtId="0" fontId="15" fillId="27" borderId="18" xfId="0" applyFont="1" applyFill="1" applyBorder="1" applyAlignment="1">
      <alignment horizontal="center" vertical="center"/>
    </xf>
    <xf numFmtId="0" fontId="15" fillId="27" borderId="0" xfId="0" applyFont="1" applyFill="1" applyAlignment="1">
      <alignment horizontal="center" vertical="center"/>
    </xf>
    <xf numFmtId="0" fontId="15" fillId="27" borderId="19" xfId="0" applyFont="1" applyFill="1" applyBorder="1" applyAlignment="1">
      <alignment horizontal="center" vertical="center"/>
    </xf>
    <xf numFmtId="9" fontId="16" fillId="27" borderId="20" xfId="2" applyFont="1" applyFill="1" applyBorder="1" applyAlignment="1">
      <alignment horizontal="center" vertical="center"/>
    </xf>
    <xf numFmtId="9" fontId="16" fillId="27" borderId="21" xfId="2" applyFont="1" applyFill="1" applyBorder="1" applyAlignment="1">
      <alignment horizontal="center" vertical="center"/>
    </xf>
    <xf numFmtId="9" fontId="16" fillId="27" borderId="22" xfId="2" applyFont="1" applyFill="1" applyBorder="1" applyAlignment="1">
      <alignment horizontal="center" vertical="center"/>
    </xf>
    <xf numFmtId="9" fontId="16" fillId="27" borderId="18" xfId="2" applyFont="1" applyFill="1" applyBorder="1" applyAlignment="1">
      <alignment horizontal="center" vertical="center"/>
    </xf>
    <xf numFmtId="9" fontId="16" fillId="27" borderId="0" xfId="2" applyFont="1" applyFill="1" applyAlignment="1">
      <alignment horizontal="center" vertical="center"/>
    </xf>
    <xf numFmtId="9" fontId="16" fillId="27" borderId="19" xfId="2" applyFont="1" applyFill="1" applyBorder="1" applyAlignment="1">
      <alignment horizontal="center" vertical="center"/>
    </xf>
    <xf numFmtId="0" fontId="9" fillId="27" borderId="20" xfId="0" applyFont="1" applyFill="1" applyBorder="1" applyAlignment="1">
      <alignment horizontal="center" vertical="center"/>
    </xf>
    <xf numFmtId="0" fontId="9" fillId="27" borderId="18" xfId="0" applyFont="1" applyFill="1" applyBorder="1" applyAlignment="1">
      <alignment horizontal="center" vertical="center"/>
    </xf>
    <xf numFmtId="0" fontId="9" fillId="27" borderId="24" xfId="0" applyFont="1" applyFill="1" applyBorder="1" applyAlignment="1">
      <alignment horizontal="center" vertical="center"/>
    </xf>
    <xf numFmtId="0" fontId="9" fillId="26" borderId="21" xfId="0" applyFont="1" applyFill="1" applyBorder="1" applyAlignment="1">
      <alignment horizontal="center" vertical="center"/>
    </xf>
    <xf numFmtId="0" fontId="9" fillId="26" borderId="22" xfId="0" applyFont="1" applyFill="1" applyBorder="1" applyAlignment="1">
      <alignment horizontal="center" vertical="center"/>
    </xf>
    <xf numFmtId="0" fontId="9" fillId="26" borderId="0" xfId="0" applyFont="1" applyFill="1" applyAlignment="1">
      <alignment horizontal="center" vertical="center"/>
    </xf>
    <xf numFmtId="0" fontId="9" fillId="26" borderId="19" xfId="0" applyFont="1" applyFill="1" applyBorder="1" applyAlignment="1">
      <alignment horizontal="center" vertical="center"/>
    </xf>
    <xf numFmtId="0" fontId="9" fillId="26" borderId="25" xfId="0" applyFont="1" applyFill="1" applyBorder="1" applyAlignment="1">
      <alignment horizontal="center" vertical="center"/>
    </xf>
    <xf numFmtId="0" fontId="9" fillId="26" borderId="23" xfId="0" applyFont="1" applyFill="1" applyBorder="1" applyAlignment="1">
      <alignment horizontal="center" vertical="center"/>
    </xf>
    <xf numFmtId="0" fontId="10" fillId="27" borderId="20" xfId="0" applyFont="1" applyFill="1" applyBorder="1" applyAlignment="1">
      <alignment horizontal="center" vertical="center"/>
    </xf>
    <xf numFmtId="0" fontId="10" fillId="27" borderId="21" xfId="0" applyFont="1" applyFill="1" applyBorder="1" applyAlignment="1">
      <alignment horizontal="center" vertical="center"/>
    </xf>
    <xf numFmtId="0" fontId="10" fillId="27" borderId="22" xfId="0" applyFont="1" applyFill="1" applyBorder="1" applyAlignment="1">
      <alignment horizontal="center" vertical="center"/>
    </xf>
    <xf numFmtId="0" fontId="10" fillId="27" borderId="18" xfId="0" applyFont="1" applyFill="1" applyBorder="1" applyAlignment="1">
      <alignment horizontal="center" vertical="center"/>
    </xf>
    <xf numFmtId="0" fontId="10" fillId="27" borderId="0" xfId="0" applyFont="1" applyFill="1" applyAlignment="1">
      <alignment horizontal="center" vertical="center"/>
    </xf>
    <xf numFmtId="0" fontId="10" fillId="27" borderId="19" xfId="0" applyFont="1" applyFill="1" applyBorder="1" applyAlignment="1">
      <alignment horizontal="center" vertical="center"/>
    </xf>
    <xf numFmtId="0" fontId="10" fillId="27" borderId="24" xfId="0" applyFont="1" applyFill="1" applyBorder="1" applyAlignment="1">
      <alignment horizontal="center" vertical="center"/>
    </xf>
    <xf numFmtId="0" fontId="10" fillId="27" borderId="25" xfId="0" applyFont="1" applyFill="1" applyBorder="1" applyAlignment="1">
      <alignment horizontal="center" vertical="center"/>
    </xf>
    <xf numFmtId="0" fontId="10" fillId="27" borderId="23" xfId="0" applyFont="1" applyFill="1" applyBorder="1" applyAlignment="1">
      <alignment horizontal="center" vertical="center"/>
    </xf>
    <xf numFmtId="0" fontId="12" fillId="27" borderId="24" xfId="0" applyFont="1" applyFill="1" applyBorder="1" applyAlignment="1">
      <alignment horizontal="center"/>
    </xf>
    <xf numFmtId="0" fontId="12" fillId="27" borderId="25" xfId="0" applyFont="1" applyFill="1" applyBorder="1" applyAlignment="1">
      <alignment horizontal="center"/>
    </xf>
    <xf numFmtId="0" fontId="12" fillId="27" borderId="23" xfId="0" applyFont="1" applyFill="1" applyBorder="1" applyAlignment="1">
      <alignment horizontal="center"/>
    </xf>
    <xf numFmtId="39" fontId="15" fillId="27" borderId="21" xfId="0" applyNumberFormat="1" applyFont="1" applyFill="1" applyBorder="1" applyAlignment="1">
      <alignment horizontal="center" vertical="center"/>
    </xf>
    <xf numFmtId="0" fontId="11" fillId="27" borderId="26" xfId="0" applyFont="1" applyFill="1" applyBorder="1" applyAlignment="1">
      <alignment horizontal="center"/>
    </xf>
    <xf numFmtId="0" fontId="11" fillId="27" borderId="27" xfId="0" applyFont="1" applyFill="1" applyBorder="1" applyAlignment="1">
      <alignment horizontal="center"/>
    </xf>
    <xf numFmtId="0" fontId="11" fillId="27" borderId="28" xfId="0" applyFont="1" applyFill="1" applyBorder="1" applyAlignment="1">
      <alignment horizontal="center"/>
    </xf>
    <xf numFmtId="0" fontId="13" fillId="27" borderId="24" xfId="0" applyFont="1" applyFill="1" applyBorder="1" applyAlignment="1">
      <alignment horizontal="center"/>
    </xf>
    <xf numFmtId="0" fontId="13" fillId="27" borderId="25" xfId="0" applyFont="1" applyFill="1" applyBorder="1" applyAlignment="1">
      <alignment horizontal="center"/>
    </xf>
    <xf numFmtId="0" fontId="13" fillId="27" borderId="23" xfId="0" applyFont="1" applyFill="1" applyBorder="1" applyAlignment="1">
      <alignment horizontal="center"/>
    </xf>
    <xf numFmtId="0" fontId="3" fillId="12" borderId="0" xfId="0" applyFont="1" applyFill="1" applyAlignment="1">
      <alignment horizontal="center"/>
    </xf>
    <xf numFmtId="0" fontId="5" fillId="12" borderId="0" xfId="0" applyFont="1" applyFill="1" applyAlignment="1">
      <alignment horizontal="center"/>
    </xf>
    <xf numFmtId="165" fontId="8" fillId="13" borderId="13" xfId="0" applyNumberFormat="1" applyFont="1" applyFill="1" applyBorder="1" applyAlignment="1">
      <alignment horizontal="center" vertical="center"/>
    </xf>
    <xf numFmtId="165" fontId="8" fillId="13" borderId="14" xfId="0" applyNumberFormat="1" applyFont="1" applyFill="1" applyBorder="1" applyAlignment="1">
      <alignment horizontal="center" vertical="center"/>
    </xf>
    <xf numFmtId="165" fontId="8" fillId="13" borderId="15" xfId="0" applyNumberFormat="1" applyFont="1" applyFill="1" applyBorder="1" applyAlignment="1">
      <alignment horizontal="center" vertical="center"/>
    </xf>
    <xf numFmtId="165" fontId="8" fillId="13" borderId="8" xfId="0" applyNumberFormat="1" applyFont="1" applyFill="1" applyBorder="1" applyAlignment="1">
      <alignment horizontal="center" vertical="center"/>
    </xf>
    <xf numFmtId="165" fontId="8" fillId="13" borderId="3" xfId="0" applyNumberFormat="1" applyFont="1" applyFill="1" applyBorder="1" applyAlignment="1">
      <alignment horizontal="center" vertical="center"/>
    </xf>
    <xf numFmtId="165" fontId="8" fillId="13" borderId="7" xfId="0" applyNumberFormat="1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/>
    </xf>
    <xf numFmtId="4" fontId="8" fillId="13" borderId="8" xfId="0" applyNumberFormat="1" applyFont="1" applyFill="1" applyBorder="1" applyAlignment="1">
      <alignment horizontal="center" vertical="center"/>
    </xf>
    <xf numFmtId="0" fontId="8" fillId="13" borderId="3" xfId="0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9" fontId="3" fillId="7" borderId="1" xfId="0" applyNumberFormat="1" applyFont="1" applyFill="1" applyBorder="1" applyAlignment="1">
      <alignment horizontal="center" vertical="center"/>
    </xf>
    <xf numFmtId="9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6" borderId="1" xfId="2" applyFont="1" applyFill="1" applyBorder="1" applyAlignment="1">
      <alignment horizontal="center" vertical="center"/>
    </xf>
    <xf numFmtId="9" fontId="0" fillId="3" borderId="1" xfId="2" applyFont="1" applyFill="1" applyBorder="1" applyAlignment="1">
      <alignment horizontal="center" vertical="center"/>
    </xf>
    <xf numFmtId="9" fontId="0" fillId="4" borderId="1" xfId="2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/>
    </xf>
    <xf numFmtId="0" fontId="8" fillId="13" borderId="2" xfId="0" applyFont="1" applyFill="1" applyBorder="1" applyAlignment="1">
      <alignment horizontal="center"/>
    </xf>
    <xf numFmtId="0" fontId="8" fillId="13" borderId="3" xfId="0" applyFont="1" applyFill="1" applyBorder="1" applyAlignment="1">
      <alignment horizontal="center"/>
    </xf>
    <xf numFmtId="0" fontId="8" fillId="13" borderId="4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8" borderId="3" xfId="0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2" fillId="19" borderId="1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7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auto="1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auto="1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dd/mm/yyyy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numFmt numFmtId="4" formatCode="#,##0.00"/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 patternType="solid">
          <fgColor theme="5" tint="0.59999389629810485"/>
          <bgColor theme="5" tint="0.5999938962981048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 Style 1" defaultPivotStyle="PivotStyleLight16">
    <tableStyle name="Table Style 1" pivot="0" count="0" xr9:uid="{DDA87166-4957-486F-A109-BD17612952D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PATRIMÔNIO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ln>
                <a:solidFill>
                  <a:schemeClr val="bg1"/>
                </a:solidFill>
              </a:ln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872822198654357E-2"/>
          <c:y val="9.555555555555556E-2"/>
          <c:w val="0.95000071612962633"/>
          <c:h val="0.81175153105861764"/>
        </c:manualLayout>
      </c:layout>
      <c:lineChart>
        <c:grouping val="standard"/>
        <c:varyColors val="0"/>
        <c:ser>
          <c:idx val="0"/>
          <c:order val="0"/>
          <c:tx>
            <c:strRef>
              <c:f>Cálculos!$S$1</c:f>
              <c:strCache>
                <c:ptCount val="1"/>
                <c:pt idx="0">
                  <c:v>Patrimônio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ln>
                      <a:solidFill>
                        <a:schemeClr val="bg1"/>
                      </a:solidFill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Cálculos!$R$2:$R$13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Cálculos!$S$2:$S$13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54-4E70-830C-2ED239492C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2251264"/>
        <c:axId val="1962252096"/>
      </c:lineChart>
      <c:catAx>
        <c:axId val="196225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252096"/>
        <c:crosses val="autoZero"/>
        <c:auto val="1"/>
        <c:lblAlgn val="ctr"/>
        <c:lblOffset val="100"/>
        <c:noMultiLvlLbl val="0"/>
      </c:catAx>
      <c:valAx>
        <c:axId val="1962252096"/>
        <c:scaling>
          <c:orientation val="minMax"/>
        </c:scaling>
        <c:delete val="0"/>
        <c:axPos val="l"/>
        <c:numFmt formatCode="#,##0.00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solidFill>
                    <a:schemeClr val="bg1"/>
                  </a:solidFill>
                </a:ln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225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>
          <a:ln>
            <a:solidFill>
              <a:schemeClr val="bg1"/>
            </a:solidFill>
          </a:ln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Despesas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Cálculos!$S$81</c:f>
              <c:strCache>
                <c:ptCount val="1"/>
                <c:pt idx="0">
                  <c:v>Realizado</c:v>
                </c:pt>
              </c:strCache>
            </c:strRef>
          </c:tx>
          <c:spPr>
            <a:solidFill>
              <a:srgbClr val="7030A0"/>
            </a:solidFill>
            <a:ln>
              <a:solidFill>
                <a:srgbClr val="7030A0"/>
              </a:solidFill>
            </a:ln>
            <a:effectLst/>
          </c:spPr>
          <c:invertIfNegative val="0"/>
          <c:cat>
            <c:strRef>
              <c:f>Cálculos!$R$82:$R$90</c:f>
              <c:strCache>
                <c:ptCount val="9"/>
                <c:pt idx="0">
                  <c:v>Casa</c:v>
                </c:pt>
                <c:pt idx="1">
                  <c:v>Alimentação</c:v>
                </c:pt>
                <c:pt idx="2">
                  <c:v>Transporte</c:v>
                </c:pt>
                <c:pt idx="3">
                  <c:v>Saúde</c:v>
                </c:pt>
                <c:pt idx="4">
                  <c:v>Pessoais</c:v>
                </c:pt>
                <c:pt idx="5">
                  <c:v>Educação</c:v>
                </c:pt>
                <c:pt idx="6">
                  <c:v>Lazer</c:v>
                </c:pt>
                <c:pt idx="7">
                  <c:v>Diversos</c:v>
                </c:pt>
                <c:pt idx="8">
                  <c:v>Taxas</c:v>
                </c:pt>
              </c:strCache>
            </c:strRef>
          </c:cat>
          <c:val>
            <c:numRef>
              <c:f>Cálculos!$S$82:$S$90</c:f>
              <c:numCache>
                <c:formatCode>#,##0.00_);\(#,##0.00\)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58-4B3B-8801-2E3AB62AAD3C}"/>
            </c:ext>
          </c:extLst>
        </c:ser>
        <c:ser>
          <c:idx val="1"/>
          <c:order val="1"/>
          <c:tx>
            <c:strRef>
              <c:f>Cálculos!$T$81</c:f>
              <c:strCache>
                <c:ptCount val="1"/>
                <c:pt idx="0">
                  <c:v>Projetado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Cálculos!$R$82:$R$90</c:f>
              <c:strCache>
                <c:ptCount val="9"/>
                <c:pt idx="0">
                  <c:v>Casa</c:v>
                </c:pt>
                <c:pt idx="1">
                  <c:v>Alimentação</c:v>
                </c:pt>
                <c:pt idx="2">
                  <c:v>Transporte</c:v>
                </c:pt>
                <c:pt idx="3">
                  <c:v>Saúde</c:v>
                </c:pt>
                <c:pt idx="4">
                  <c:v>Pessoais</c:v>
                </c:pt>
                <c:pt idx="5">
                  <c:v>Educação</c:v>
                </c:pt>
                <c:pt idx="6">
                  <c:v>Lazer</c:v>
                </c:pt>
                <c:pt idx="7">
                  <c:v>Diversos</c:v>
                </c:pt>
                <c:pt idx="8">
                  <c:v>Taxas</c:v>
                </c:pt>
              </c:strCache>
            </c:strRef>
          </c:cat>
          <c:val>
            <c:numRef>
              <c:f>Cálculos!$T$82:$T$90</c:f>
              <c:numCache>
                <c:formatCode>#,##0.00_);\(#,##0.00\)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58-4B3B-8801-2E3AB62AA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6"/>
        <c:overlap val="-58"/>
        <c:axId val="2086456144"/>
        <c:axId val="2086464048"/>
      </c:barChart>
      <c:catAx>
        <c:axId val="2086456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15000"/>
                <a:lumOff val="8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086464048"/>
        <c:crosses val="autoZero"/>
        <c:auto val="1"/>
        <c:lblAlgn val="ctr"/>
        <c:lblOffset val="100"/>
        <c:noMultiLvlLbl val="0"/>
      </c:catAx>
      <c:valAx>
        <c:axId val="2086464048"/>
        <c:scaling>
          <c:orientation val="minMax"/>
        </c:scaling>
        <c:delete val="0"/>
        <c:axPos val="b"/>
        <c:numFmt formatCode="#,##0.00_);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645614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9050" cap="flat" cmpd="sng" algn="ctr">
      <a:solidFill>
        <a:schemeClr val="bg1">
          <a:lumMod val="85000"/>
        </a:schemeClr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019741057814403E-2"/>
          <c:y val="0.16877625916059724"/>
          <c:w val="0.84756984826592596"/>
          <c:h val="0.60170264679713814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495254345579631"/>
                      <c:h val="0.358718621710747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92C0-4F84-8393-DB9DDB16571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C0-4F84-8393-DB9DDB1657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Dashboard!$F$20:$F$22</c:f>
              <c:numCache>
                <c:formatCode>0%</c:formatCode>
                <c:ptCount val="3"/>
                <c:pt idx="0">
                  <c:v>0</c:v>
                </c:pt>
                <c:pt idx="2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C0-4F84-8393-DB9DDB16571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828593039"/>
        <c:axId val="828599695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Dashboard!$G$20:$G$22</c15:sqref>
                        </c15:formulaRef>
                      </c:ext>
                    </c:extLst>
                    <c:numCache>
                      <c:formatCode>0%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2C0-4F84-8393-DB9DDB16571E}"/>
                  </c:ext>
                </c:extLst>
              </c15:ser>
            </c15:filteredBarSeries>
            <c15:filteredBarSeries>
              <c15:ser>
                <c:idx val="2"/>
                <c:order val="2"/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in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Dashboard!$H$20:$H$22</c15:sqref>
                        </c15:formulaRef>
                      </c:ext>
                    </c:extLst>
                    <c:numCache>
                      <c:formatCode>0%</c:formatCode>
                      <c:ptCount val="3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2C0-4F84-8393-DB9DDB16571E}"/>
                  </c:ext>
                </c:extLst>
              </c15:ser>
            </c15:filteredBarSeries>
          </c:ext>
        </c:extLst>
      </c:barChart>
      <c:catAx>
        <c:axId val="82859303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28599695"/>
        <c:crosses val="autoZero"/>
        <c:auto val="1"/>
        <c:lblAlgn val="ctr"/>
        <c:lblOffset val="100"/>
        <c:noMultiLvlLbl val="0"/>
      </c:catAx>
      <c:valAx>
        <c:axId val="828599695"/>
        <c:scaling>
          <c:orientation val="minMax"/>
          <c:max val="1"/>
          <c:min val="0"/>
        </c:scaling>
        <c:delete val="0"/>
        <c:axPos val="b"/>
        <c:numFmt formatCode="0%" sourceLinked="1"/>
        <c:majorTickMark val="out"/>
        <c:minorTickMark val="none"/>
        <c:tickLblPos val="nextTo"/>
        <c:spPr>
          <a:noFill/>
          <a:ln>
            <a:solidFill>
              <a:schemeClr val="accent6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593039"/>
        <c:crosses val="autoZero"/>
        <c:crossBetween val="between"/>
        <c:majorUnit val="1"/>
        <c:minorUnit val="0.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10800000" scaled="1"/>
        <a:tileRect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46000">
            <a:schemeClr val="phClr"/>
          </a:gs>
          <a:gs pos="100000">
            <a:schemeClr val="phClr">
              <a:lumMod val="20000"/>
              <a:lumOff val="80000"/>
              <a:alpha val="0"/>
            </a:schemeClr>
          </a:gs>
        </a:gsLst>
        <a:path path="circle">
          <a:fillToRect l="50000" t="-80000" r="50000" b="180000"/>
        </a:path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99000">
              <a:schemeClr val="tx1">
                <a:lumMod val="25000"/>
                <a:lumOff val="75000"/>
              </a:schemeClr>
            </a:gs>
            <a:gs pos="0">
              <a:schemeClr val="tx1">
                <a:lumMod val="15000"/>
                <a:lumOff val="8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15000"/>
                <a:lumOff val="85000"/>
              </a:schemeClr>
            </a:gs>
            <a:gs pos="0">
              <a:schemeClr val="tx1">
                <a:lumMod val="5000"/>
                <a:lumOff val="9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In"/><Relationship Id="rId13" Type="http://schemas.openxmlformats.org/officeDocument/2006/relationships/hyperlink" Target="#Reset"/><Relationship Id="rId18" Type="http://schemas.openxmlformats.org/officeDocument/2006/relationships/hyperlink" Target="#VALOR"/><Relationship Id="rId3" Type="http://schemas.openxmlformats.org/officeDocument/2006/relationships/hyperlink" Target="#rend"/><Relationship Id="rId21" Type="http://schemas.openxmlformats.org/officeDocument/2006/relationships/hyperlink" Target="#Resumo!A1"/><Relationship Id="rId7" Type="http://schemas.openxmlformats.org/officeDocument/2006/relationships/hyperlink" Target="#Or"/><Relationship Id="rId12" Type="http://schemas.openxmlformats.org/officeDocument/2006/relationships/hyperlink" Target="#InvS"/><Relationship Id="rId17" Type="http://schemas.openxmlformats.org/officeDocument/2006/relationships/hyperlink" Target="#DESCRI&#199;&#195;O"/><Relationship Id="rId2" Type="http://schemas.openxmlformats.org/officeDocument/2006/relationships/hyperlink" Target="#Res_All"/><Relationship Id="rId16" Type="http://schemas.openxmlformats.org/officeDocument/2006/relationships/hyperlink" Target="#SUBCATEGORIA"/><Relationship Id="rId20" Type="http://schemas.openxmlformats.org/officeDocument/2006/relationships/hyperlink" Target="#Dashboard!A1"/><Relationship Id="rId1" Type="http://schemas.openxmlformats.org/officeDocument/2006/relationships/hyperlink" Target="https://youtu.be/LivF3T8EyT4" TargetMode="External"/><Relationship Id="rId6" Type="http://schemas.openxmlformats.org/officeDocument/2006/relationships/hyperlink" Target="#Res_Mes"/><Relationship Id="rId11" Type="http://schemas.openxmlformats.org/officeDocument/2006/relationships/hyperlink" Target="#CC"/><Relationship Id="rId5" Type="http://schemas.openxmlformats.org/officeDocument/2006/relationships/hyperlink" Target="#Def_Or&#231;"/><Relationship Id="rId15" Type="http://schemas.openxmlformats.org/officeDocument/2006/relationships/hyperlink" Target="#CATEGORIA"/><Relationship Id="rId10" Type="http://schemas.openxmlformats.org/officeDocument/2006/relationships/hyperlink" Target="#Cont"/><Relationship Id="rId19" Type="http://schemas.openxmlformats.org/officeDocument/2006/relationships/hyperlink" Target="#DATA"/><Relationship Id="rId4" Type="http://schemas.openxmlformats.org/officeDocument/2006/relationships/hyperlink" Target="#Select_Ano"/><Relationship Id="rId9" Type="http://schemas.openxmlformats.org/officeDocument/2006/relationships/hyperlink" Target="#Pro"/><Relationship Id="rId14" Type="http://schemas.openxmlformats.org/officeDocument/2006/relationships/hyperlink" Target="#CONTA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23</xdr:row>
      <xdr:rowOff>47625</xdr:rowOff>
    </xdr:from>
    <xdr:to>
      <xdr:col>25</xdr:col>
      <xdr:colOff>31751</xdr:colOff>
      <xdr:row>44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600075</xdr:colOff>
      <xdr:row>1</xdr:row>
      <xdr:rowOff>0</xdr:rowOff>
    </xdr:from>
    <xdr:to>
      <xdr:col>25</xdr:col>
      <xdr:colOff>0</xdr:colOff>
      <xdr:row>22</xdr:row>
      <xdr:rowOff>47625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7</xdr:col>
      <xdr:colOff>545801</xdr:colOff>
      <xdr:row>0</xdr:row>
      <xdr:rowOff>154998</xdr:rowOff>
    </xdr:from>
    <xdr:ext cx="3129704" cy="781111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07756" y="154998"/>
          <a:ext cx="312970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4400" b="0" cap="none" spc="0">
              <a:ln w="0"/>
              <a:solidFill>
                <a:schemeClr val="accent2"/>
              </a:solidFill>
              <a:effectLst>
                <a:outerShdw blurRad="60007" dist="200025" dir="15000000" sy="30000" kx="-1800000" algn="bl" rotWithShape="0">
                  <a:prstClr val="black">
                    <a:alpha val="32000"/>
                  </a:prstClr>
                </a:outerShdw>
                <a:reflection blurRad="6350" stA="53000" endA="300" endPos="35500" dir="5400000" sy="-90000" algn="bl" rotWithShape="0"/>
              </a:effectLst>
            </a:rPr>
            <a:t>DASHBOARD</a:t>
          </a:r>
        </a:p>
      </xdr:txBody>
    </xdr:sp>
    <xdr:clientData/>
  </xdr:oneCellAnchor>
  <xdr:twoCellAnchor>
    <xdr:from>
      <xdr:col>4</xdr:col>
      <xdr:colOff>600075</xdr:colOff>
      <xdr:row>17</xdr:row>
      <xdr:rowOff>171450</xdr:rowOff>
    </xdr:from>
    <xdr:to>
      <xdr:col>8</xdr:col>
      <xdr:colOff>38101</xdr:colOff>
      <xdr:row>21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0</xdr:row>
      <xdr:rowOff>47625</xdr:rowOff>
    </xdr:from>
    <xdr:to>
      <xdr:col>6</xdr:col>
      <xdr:colOff>1600200</xdr:colOff>
      <xdr:row>0</xdr:row>
      <xdr:rowOff>342900</xdr:rowOff>
    </xdr:to>
    <xdr:sp macro="[0]!NovaEntrada" textlink="">
      <xdr:nvSpPr>
        <xdr:cNvPr id="2" name="Rectangle: Beveled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9172575" y="47625"/>
          <a:ext cx="1476375" cy="29527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Nova</a:t>
          </a:r>
          <a:r>
            <a:rPr lang="en-US" sz="1100" baseline="0"/>
            <a:t> Entrada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1199784</xdr:colOff>
      <xdr:row>46</xdr:row>
      <xdr:rowOff>137379</xdr:rowOff>
    </xdr:from>
    <xdr:to>
      <xdr:col>9</xdr:col>
      <xdr:colOff>1135674</xdr:colOff>
      <xdr:row>49</xdr:row>
      <xdr:rowOff>91585</xdr:rowOff>
    </xdr:to>
    <xdr:sp macro="[0]!Restart" textlink="">
      <xdr:nvSpPr>
        <xdr:cNvPr id="2" name="Rectangle: Beveled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953125" y="8984639"/>
          <a:ext cx="1785938" cy="531201"/>
        </a:xfrm>
        <a:prstGeom prst="bevel">
          <a:avLst/>
        </a:prstGeom>
        <a:solidFill>
          <a:srgbClr val="FF0000"/>
        </a:solidFill>
        <a:ln>
          <a:solidFill>
            <a:srgbClr val="C00000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1270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RESTART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1</xdr:row>
      <xdr:rowOff>38100</xdr:rowOff>
    </xdr:from>
    <xdr:to>
      <xdr:col>7</xdr:col>
      <xdr:colOff>638175</xdr:colOff>
      <xdr:row>1</xdr:row>
      <xdr:rowOff>342900</xdr:rowOff>
    </xdr:to>
    <xdr:sp macro="" textlink="">
      <xdr:nvSpPr>
        <xdr:cNvPr id="2" name="Rectangle: Beveled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286750" y="228600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266700</xdr:colOff>
      <xdr:row>7</xdr:row>
      <xdr:rowOff>38100</xdr:rowOff>
    </xdr:from>
    <xdr:to>
      <xdr:col>7</xdr:col>
      <xdr:colOff>638175</xdr:colOff>
      <xdr:row>7</xdr:row>
      <xdr:rowOff>342900</xdr:rowOff>
    </xdr:to>
    <xdr:sp macro="" textlink="">
      <xdr:nvSpPr>
        <xdr:cNvPr id="4" name="Rectangle: Beveled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8296275" y="2514600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247650</xdr:colOff>
      <xdr:row>11</xdr:row>
      <xdr:rowOff>47625</xdr:rowOff>
    </xdr:from>
    <xdr:to>
      <xdr:col>7</xdr:col>
      <xdr:colOff>619125</xdr:colOff>
      <xdr:row>11</xdr:row>
      <xdr:rowOff>352425</xdr:rowOff>
    </xdr:to>
    <xdr:sp macro="" textlink="">
      <xdr:nvSpPr>
        <xdr:cNvPr id="5" name="Rectangle: Beveled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8315325" y="4343400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266700</xdr:colOff>
      <xdr:row>4</xdr:row>
      <xdr:rowOff>47625</xdr:rowOff>
    </xdr:from>
    <xdr:to>
      <xdr:col>7</xdr:col>
      <xdr:colOff>638175</xdr:colOff>
      <xdr:row>4</xdr:row>
      <xdr:rowOff>352425</xdr:rowOff>
    </xdr:to>
    <xdr:sp macro="" textlink="">
      <xdr:nvSpPr>
        <xdr:cNvPr id="6" name="Rectangle: Beveled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8296275" y="1381125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266700</xdr:colOff>
      <xdr:row>5</xdr:row>
      <xdr:rowOff>47625</xdr:rowOff>
    </xdr:from>
    <xdr:to>
      <xdr:col>7</xdr:col>
      <xdr:colOff>638175</xdr:colOff>
      <xdr:row>5</xdr:row>
      <xdr:rowOff>352425</xdr:rowOff>
    </xdr:to>
    <xdr:sp macro="" textlink="">
      <xdr:nvSpPr>
        <xdr:cNvPr id="7" name="Rectangle: Beveled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8296275" y="1762125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266700</xdr:colOff>
      <xdr:row>6</xdr:row>
      <xdr:rowOff>47625</xdr:rowOff>
    </xdr:from>
    <xdr:to>
      <xdr:col>7</xdr:col>
      <xdr:colOff>638175</xdr:colOff>
      <xdr:row>6</xdr:row>
      <xdr:rowOff>352425</xdr:rowOff>
    </xdr:to>
    <xdr:sp macro="" textlink="">
      <xdr:nvSpPr>
        <xdr:cNvPr id="8" name="Rectangle: Beveled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8296275" y="2143125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257175</xdr:colOff>
      <xdr:row>8</xdr:row>
      <xdr:rowOff>28575</xdr:rowOff>
    </xdr:from>
    <xdr:to>
      <xdr:col>7</xdr:col>
      <xdr:colOff>628650</xdr:colOff>
      <xdr:row>8</xdr:row>
      <xdr:rowOff>333375</xdr:rowOff>
    </xdr:to>
    <xdr:sp macro="" textlink="">
      <xdr:nvSpPr>
        <xdr:cNvPr id="15" name="Rectangle: Beveled 1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8286750" y="2886075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257175</xdr:colOff>
      <xdr:row>9</xdr:row>
      <xdr:rowOff>28575</xdr:rowOff>
    </xdr:from>
    <xdr:to>
      <xdr:col>7</xdr:col>
      <xdr:colOff>628650</xdr:colOff>
      <xdr:row>9</xdr:row>
      <xdr:rowOff>333375</xdr:rowOff>
    </xdr:to>
    <xdr:sp macro="" textlink="">
      <xdr:nvSpPr>
        <xdr:cNvPr id="16" name="Rectangle: Beveled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8286750" y="3267075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257175</xdr:colOff>
      <xdr:row>10</xdr:row>
      <xdr:rowOff>38100</xdr:rowOff>
    </xdr:from>
    <xdr:to>
      <xdr:col>7</xdr:col>
      <xdr:colOff>628650</xdr:colOff>
      <xdr:row>10</xdr:row>
      <xdr:rowOff>342900</xdr:rowOff>
    </xdr:to>
    <xdr:sp macro="" textlink="">
      <xdr:nvSpPr>
        <xdr:cNvPr id="17" name="Rectangle: Beveled 1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8286750" y="3657600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247650</xdr:colOff>
      <xdr:row>12</xdr:row>
      <xdr:rowOff>123825</xdr:rowOff>
    </xdr:from>
    <xdr:to>
      <xdr:col>7</xdr:col>
      <xdr:colOff>619125</xdr:colOff>
      <xdr:row>12</xdr:row>
      <xdr:rowOff>428625</xdr:rowOff>
    </xdr:to>
    <xdr:sp macro="" textlink="">
      <xdr:nvSpPr>
        <xdr:cNvPr id="18" name="Rectangle: Beveled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8315325" y="4800600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247650</xdr:colOff>
      <xdr:row>13</xdr:row>
      <xdr:rowOff>28575</xdr:rowOff>
    </xdr:from>
    <xdr:to>
      <xdr:col>7</xdr:col>
      <xdr:colOff>619125</xdr:colOff>
      <xdr:row>13</xdr:row>
      <xdr:rowOff>333375</xdr:rowOff>
    </xdr:to>
    <xdr:sp macro="" textlink="">
      <xdr:nvSpPr>
        <xdr:cNvPr id="19" name="Rectangle: Beveled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8315325" y="5276850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247650</xdr:colOff>
      <xdr:row>14</xdr:row>
      <xdr:rowOff>38100</xdr:rowOff>
    </xdr:from>
    <xdr:to>
      <xdr:col>7</xdr:col>
      <xdr:colOff>619125</xdr:colOff>
      <xdr:row>14</xdr:row>
      <xdr:rowOff>342900</xdr:rowOff>
    </xdr:to>
    <xdr:sp macro="" textlink="">
      <xdr:nvSpPr>
        <xdr:cNvPr id="20" name="Rectangle: Beveled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8315325" y="5667375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238125</xdr:colOff>
      <xdr:row>15</xdr:row>
      <xdr:rowOff>47625</xdr:rowOff>
    </xdr:from>
    <xdr:to>
      <xdr:col>7</xdr:col>
      <xdr:colOff>609600</xdr:colOff>
      <xdr:row>15</xdr:row>
      <xdr:rowOff>352425</xdr:rowOff>
    </xdr:to>
    <xdr:sp macro="" textlink="">
      <xdr:nvSpPr>
        <xdr:cNvPr id="21" name="Rectangle: Beveled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8305800" y="6057900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238125</xdr:colOff>
      <xdr:row>16</xdr:row>
      <xdr:rowOff>47625</xdr:rowOff>
    </xdr:from>
    <xdr:to>
      <xdr:col>7</xdr:col>
      <xdr:colOff>609600</xdr:colOff>
      <xdr:row>16</xdr:row>
      <xdr:rowOff>352425</xdr:rowOff>
    </xdr:to>
    <xdr:sp macro="" textlink="">
      <xdr:nvSpPr>
        <xdr:cNvPr id="22" name="Rectangle: Beveled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8305800" y="6438900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238125</xdr:colOff>
      <xdr:row>17</xdr:row>
      <xdr:rowOff>38100</xdr:rowOff>
    </xdr:from>
    <xdr:to>
      <xdr:col>7</xdr:col>
      <xdr:colOff>609600</xdr:colOff>
      <xdr:row>17</xdr:row>
      <xdr:rowOff>342900</xdr:rowOff>
    </xdr:to>
    <xdr:sp macro="" textlink="">
      <xdr:nvSpPr>
        <xdr:cNvPr id="23" name="Rectangle: Beveled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8305800" y="6810375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238125</xdr:colOff>
      <xdr:row>18</xdr:row>
      <xdr:rowOff>47625</xdr:rowOff>
    </xdr:from>
    <xdr:to>
      <xdr:col>7</xdr:col>
      <xdr:colOff>609600</xdr:colOff>
      <xdr:row>18</xdr:row>
      <xdr:rowOff>352425</xdr:rowOff>
    </xdr:to>
    <xdr:sp macro="" textlink="">
      <xdr:nvSpPr>
        <xdr:cNvPr id="24" name="Rectangle: Beveled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8305800" y="7200900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238125</xdr:colOff>
      <xdr:row>19</xdr:row>
      <xdr:rowOff>28575</xdr:rowOff>
    </xdr:from>
    <xdr:to>
      <xdr:col>7</xdr:col>
      <xdr:colOff>609600</xdr:colOff>
      <xdr:row>19</xdr:row>
      <xdr:rowOff>333375</xdr:rowOff>
    </xdr:to>
    <xdr:sp macro="" textlink="">
      <xdr:nvSpPr>
        <xdr:cNvPr id="25" name="Rectangle: Beveled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8305800" y="7562850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238125</xdr:colOff>
      <xdr:row>20</xdr:row>
      <xdr:rowOff>47625</xdr:rowOff>
    </xdr:from>
    <xdr:to>
      <xdr:col>7</xdr:col>
      <xdr:colOff>609600</xdr:colOff>
      <xdr:row>20</xdr:row>
      <xdr:rowOff>352425</xdr:rowOff>
    </xdr:to>
    <xdr:sp macro="" textlink="">
      <xdr:nvSpPr>
        <xdr:cNvPr id="26" name="Rectangle: Beveled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8305800" y="7962900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238125</xdr:colOff>
      <xdr:row>21</xdr:row>
      <xdr:rowOff>28575</xdr:rowOff>
    </xdr:from>
    <xdr:to>
      <xdr:col>7</xdr:col>
      <xdr:colOff>609600</xdr:colOff>
      <xdr:row>21</xdr:row>
      <xdr:rowOff>333375</xdr:rowOff>
    </xdr:to>
    <xdr:sp macro="" textlink="">
      <xdr:nvSpPr>
        <xdr:cNvPr id="27" name="Rectangle: Beveled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8305800" y="8324850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238125</xdr:colOff>
      <xdr:row>22</xdr:row>
      <xdr:rowOff>133350</xdr:rowOff>
    </xdr:from>
    <xdr:to>
      <xdr:col>7</xdr:col>
      <xdr:colOff>609600</xdr:colOff>
      <xdr:row>22</xdr:row>
      <xdr:rowOff>438150</xdr:rowOff>
    </xdr:to>
    <xdr:sp macro="" textlink="">
      <xdr:nvSpPr>
        <xdr:cNvPr id="28" name="Rectangle: Beveled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8305800" y="8810625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xdr:twoCellAnchor>
    <xdr:from>
      <xdr:col>7</xdr:col>
      <xdr:colOff>247650</xdr:colOff>
      <xdr:row>23</xdr:row>
      <xdr:rowOff>133350</xdr:rowOff>
    </xdr:from>
    <xdr:to>
      <xdr:col>7</xdr:col>
      <xdr:colOff>619125</xdr:colOff>
      <xdr:row>23</xdr:row>
      <xdr:rowOff>438150</xdr:rowOff>
    </xdr:to>
    <xdr:sp macro="" textlink="">
      <xdr:nvSpPr>
        <xdr:cNvPr id="29" name="Rectangle: Beveled 2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8315325" y="9382125"/>
          <a:ext cx="371475" cy="304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/>
            <a:t>IR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</xdr:row>
          <xdr:rowOff>95250</xdr:rowOff>
        </xdr:from>
        <xdr:to>
          <xdr:col>2</xdr:col>
          <xdr:colOff>485775</xdr:colOff>
          <xdr:row>1</xdr:row>
          <xdr:rowOff>314325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2</xdr:row>
          <xdr:rowOff>95250</xdr:rowOff>
        </xdr:from>
        <xdr:to>
          <xdr:col>2</xdr:col>
          <xdr:colOff>485775</xdr:colOff>
          <xdr:row>2</xdr:row>
          <xdr:rowOff>314325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3</xdr:row>
          <xdr:rowOff>95250</xdr:rowOff>
        </xdr:from>
        <xdr:to>
          <xdr:col>2</xdr:col>
          <xdr:colOff>485775</xdr:colOff>
          <xdr:row>3</xdr:row>
          <xdr:rowOff>314325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4</xdr:row>
          <xdr:rowOff>95250</xdr:rowOff>
        </xdr:from>
        <xdr:to>
          <xdr:col>2</xdr:col>
          <xdr:colOff>485775</xdr:colOff>
          <xdr:row>4</xdr:row>
          <xdr:rowOff>314325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5</xdr:row>
          <xdr:rowOff>95250</xdr:rowOff>
        </xdr:from>
        <xdr:to>
          <xdr:col>2</xdr:col>
          <xdr:colOff>485775</xdr:colOff>
          <xdr:row>5</xdr:row>
          <xdr:rowOff>314325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6</xdr:row>
          <xdr:rowOff>95250</xdr:rowOff>
        </xdr:from>
        <xdr:to>
          <xdr:col>2</xdr:col>
          <xdr:colOff>485775</xdr:colOff>
          <xdr:row>6</xdr:row>
          <xdr:rowOff>314325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7</xdr:row>
          <xdr:rowOff>95250</xdr:rowOff>
        </xdr:from>
        <xdr:to>
          <xdr:col>2</xdr:col>
          <xdr:colOff>485775</xdr:colOff>
          <xdr:row>7</xdr:row>
          <xdr:rowOff>314325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8</xdr:row>
          <xdr:rowOff>95250</xdr:rowOff>
        </xdr:from>
        <xdr:to>
          <xdr:col>2</xdr:col>
          <xdr:colOff>485775</xdr:colOff>
          <xdr:row>8</xdr:row>
          <xdr:rowOff>314325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9</xdr:row>
          <xdr:rowOff>95250</xdr:rowOff>
        </xdr:from>
        <xdr:to>
          <xdr:col>2</xdr:col>
          <xdr:colOff>485775</xdr:colOff>
          <xdr:row>9</xdr:row>
          <xdr:rowOff>314325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10</xdr:row>
          <xdr:rowOff>95250</xdr:rowOff>
        </xdr:from>
        <xdr:to>
          <xdr:col>2</xdr:col>
          <xdr:colOff>485775</xdr:colOff>
          <xdr:row>10</xdr:row>
          <xdr:rowOff>314325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11</xdr:row>
          <xdr:rowOff>95250</xdr:rowOff>
        </xdr:from>
        <xdr:to>
          <xdr:col>2</xdr:col>
          <xdr:colOff>485775</xdr:colOff>
          <xdr:row>11</xdr:row>
          <xdr:rowOff>314325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12</xdr:row>
          <xdr:rowOff>95250</xdr:rowOff>
        </xdr:from>
        <xdr:to>
          <xdr:col>2</xdr:col>
          <xdr:colOff>485775</xdr:colOff>
          <xdr:row>12</xdr:row>
          <xdr:rowOff>314325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13</xdr:row>
          <xdr:rowOff>95250</xdr:rowOff>
        </xdr:from>
        <xdr:to>
          <xdr:col>2</xdr:col>
          <xdr:colOff>485775</xdr:colOff>
          <xdr:row>13</xdr:row>
          <xdr:rowOff>314325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4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14</xdr:row>
          <xdr:rowOff>95250</xdr:rowOff>
        </xdr:from>
        <xdr:to>
          <xdr:col>2</xdr:col>
          <xdr:colOff>485775</xdr:colOff>
          <xdr:row>14</xdr:row>
          <xdr:rowOff>314325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4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15</xdr:row>
          <xdr:rowOff>95250</xdr:rowOff>
        </xdr:from>
        <xdr:to>
          <xdr:col>2</xdr:col>
          <xdr:colOff>485775</xdr:colOff>
          <xdr:row>15</xdr:row>
          <xdr:rowOff>314325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4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16</xdr:row>
          <xdr:rowOff>95250</xdr:rowOff>
        </xdr:from>
        <xdr:to>
          <xdr:col>2</xdr:col>
          <xdr:colOff>485775</xdr:colOff>
          <xdr:row>16</xdr:row>
          <xdr:rowOff>314325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17</xdr:row>
          <xdr:rowOff>95250</xdr:rowOff>
        </xdr:from>
        <xdr:to>
          <xdr:col>2</xdr:col>
          <xdr:colOff>485775</xdr:colOff>
          <xdr:row>17</xdr:row>
          <xdr:rowOff>314325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4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18</xdr:row>
          <xdr:rowOff>95250</xdr:rowOff>
        </xdr:from>
        <xdr:to>
          <xdr:col>2</xdr:col>
          <xdr:colOff>485775</xdr:colOff>
          <xdr:row>18</xdr:row>
          <xdr:rowOff>314325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4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19</xdr:row>
          <xdr:rowOff>95250</xdr:rowOff>
        </xdr:from>
        <xdr:to>
          <xdr:col>2</xdr:col>
          <xdr:colOff>485775</xdr:colOff>
          <xdr:row>19</xdr:row>
          <xdr:rowOff>314325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4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20</xdr:row>
          <xdr:rowOff>95250</xdr:rowOff>
        </xdr:from>
        <xdr:to>
          <xdr:col>2</xdr:col>
          <xdr:colOff>485775</xdr:colOff>
          <xdr:row>20</xdr:row>
          <xdr:rowOff>314325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4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21</xdr:row>
          <xdr:rowOff>95250</xdr:rowOff>
        </xdr:from>
        <xdr:to>
          <xdr:col>2</xdr:col>
          <xdr:colOff>485775</xdr:colOff>
          <xdr:row>21</xdr:row>
          <xdr:rowOff>314325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4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22</xdr:row>
          <xdr:rowOff>95250</xdr:rowOff>
        </xdr:from>
        <xdr:to>
          <xdr:col>2</xdr:col>
          <xdr:colOff>485775</xdr:colOff>
          <xdr:row>22</xdr:row>
          <xdr:rowOff>314325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4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180975</xdr:colOff>
          <xdr:row>23</xdr:row>
          <xdr:rowOff>95250</xdr:rowOff>
        </xdr:from>
        <xdr:to>
          <xdr:col>2</xdr:col>
          <xdr:colOff>485775</xdr:colOff>
          <xdr:row>23</xdr:row>
          <xdr:rowOff>314325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4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774775F9-868F-4C5B-869B-5E36946EFB2E}"/>
  <namedSheetView name="View2" id="{B40DE4D6-0691-4CE7-A11C-26DA844FF366}"/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4F8619F-191B-4B54-B806-AD2AB468819D}" name="T_dados" displayName="T_dados" ref="A1:F2" insertRow="1" totalsRowShown="0" headerRowDxfId="166" dataDxfId="165">
  <tableColumns count="6">
    <tableColumn id="1" xr3:uid="{B674635A-C73A-4667-B032-AC33401F5BAC}" name="CONTA" dataDxfId="164"/>
    <tableColumn id="2" xr3:uid="{3147E767-8FE8-4441-A78A-53E83BC013A9}" name="CATEGORIA" dataDxfId="163"/>
    <tableColumn id="3" xr3:uid="{30F28784-E4EC-4F18-890E-5D24A3262C02}" name="SUBCATEGORIA" dataDxfId="162"/>
    <tableColumn id="4" xr3:uid="{6949DA1B-13C6-4674-90C6-28EB5085F847}" name="DESCRIÇÃO" dataDxfId="161"/>
    <tableColumn id="7" xr3:uid="{CF21D6CB-8581-4DE1-9B87-62DCD9861059}" name="VALOR" dataDxfId="160"/>
    <tableColumn id="5" xr3:uid="{4C2DFA7D-517D-476D-AF6F-BB60ACAF4587}" name="DATA" dataDxfId="159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2D854C4-127C-4D52-BFEA-3B12505D3938}" name="Table29" displayName="Table29" ref="C1:H24" totalsRowShown="0" headerRowDxfId="154" dataDxfId="153">
  <autoFilter ref="C1:H24" xr:uid="{32D854C4-127C-4D52-BFEA-3B12505D393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1F1C451-B507-4CA4-AC82-F38AC5B4A1CD}" name="Check" dataDxfId="152"/>
    <tableColumn id="6" xr3:uid="{3D2FB47B-DF54-4E12-AD55-B35CF2411F0D}" name="Ordem" dataDxfId="151"/>
    <tableColumn id="2" xr3:uid="{A9496F8F-AA54-48F6-BE4D-E7F76F647D23}" name="ABA" dataDxfId="150"/>
    <tableColumn id="3" xr3:uid="{AD490BC8-387C-4C35-AB69-37E0B859B4CC}" name="Campo" dataDxfId="149"/>
    <tableColumn id="4" xr3:uid="{9F61EAFE-9189-4D3B-A748-4C730A994853}" name="Descrição" dataDxfId="148"/>
    <tableColumn id="5" xr3:uid="{0601AE5F-132F-4D3F-B102-0F2AC472F23A}" name="Link" dataDxfId="147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422BDFF-37AE-4BB6-9F6A-3C1E57560B60}" name="Table1" displayName="Table1" ref="A1:A12" totalsRowShown="0" headerRowDxfId="146" dataDxfId="145">
  <autoFilter ref="A1:A12" xr:uid="{6422BDFF-37AE-4BB6-9F6A-3C1E57560B60}">
    <filterColumn colId="0" hiddenButton="1"/>
  </autoFilter>
  <tableColumns count="1">
    <tableColumn id="1" xr3:uid="{1F1BA4B5-38F5-4CE2-8245-C3EAFE5A9EFB}" name="CATEGORIA" dataDxfId="144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51D50D-D865-40B0-A3E1-EBE8C1139B36}" name="Table2" displayName="Table2" ref="C1:D49" totalsRowShown="0" headerRowDxfId="143" dataDxfId="142">
  <autoFilter ref="C1:D49" xr:uid="{7551D50D-D865-40B0-A3E1-EBE8C1139B36}">
    <filterColumn colId="0" hiddenButton="1"/>
    <filterColumn colId="1" hiddenButton="1"/>
  </autoFilter>
  <tableColumns count="2">
    <tableColumn id="1" xr3:uid="{1D17F6A1-721F-4D31-8BC1-8225BE5E2C66}" name="CATEGORIA" dataDxfId="141"/>
    <tableColumn id="2" xr3:uid="{C40DB97D-2EC8-485E-8597-1735610292FE}" name="SUBCATEGORIA" dataDxfId="140"/>
  </tableColumns>
  <tableStyleInfo name="TableStyleMedium1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2AB220-B890-4EA4-9F80-1849B7397594}" name="Table3" displayName="Table3" ref="H1:H14" totalsRowShown="0" headerRowDxfId="139" dataDxfId="138">
  <autoFilter ref="H1:H14" xr:uid="{6A2AB220-B890-4EA4-9F80-1849B7397594}">
    <filterColumn colId="0" hiddenButton="1"/>
  </autoFilter>
  <tableColumns count="1">
    <tableColumn id="1" xr3:uid="{B2EE2008-2FED-45E3-B811-44DDF7A5A94B}" name="Mês" dataDxfId="137"/>
  </tableColumns>
  <tableStyleInfo name="TableStyleMedium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D332EA-CD78-4B45-9FD3-DCA54E6D824E}" name="Table4" displayName="Table4" ref="F1:F14" totalsRowShown="0" headerRowDxfId="136" dataDxfId="135">
  <autoFilter ref="F1:F14" xr:uid="{B8D332EA-CD78-4B45-9FD3-DCA54E6D824E}">
    <filterColumn colId="0" hiddenButton="1"/>
  </autoFilter>
  <tableColumns count="1">
    <tableColumn id="1" xr3:uid="{3414DC71-FD3E-47D7-AA15-96ACDBB8CD78}" name="CONTA" dataDxfId="134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91E98BF-6638-4738-A8BD-0457E35325EC}" name="Table5" displayName="Table5" ref="A1:A14" totalsRowShown="0" headerRowDxfId="133" dataDxfId="132">
  <autoFilter ref="A1:A14" xr:uid="{091E98BF-6638-4738-A8BD-0457E35325EC}">
    <filterColumn colId="0" hiddenButton="1"/>
  </autoFilter>
  <tableColumns count="1">
    <tableColumn id="1" xr3:uid="{279EBEFD-9E8F-4B47-B855-C12E15F8413D}" name="Mês" dataDxfId="131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9709172-7DF4-4A68-A45B-63912EAB2DBF}" name="Table57" displayName="Table57" ref="A17:A30" totalsRowShown="0" headerRowDxfId="130" dataDxfId="129">
  <autoFilter ref="A17:A30" xr:uid="{D9709172-7DF4-4A68-A45B-63912EAB2DBF}">
    <filterColumn colId="0" hiddenButton="1"/>
  </autoFilter>
  <tableColumns count="1">
    <tableColumn id="1" xr3:uid="{7F0B853E-59C5-452D-A1DA-5EFEBFC25C0A}" name="Mês" dataDxfId="128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DC7F10E-FBBC-4656-904D-7E5B4140BCA3}" name="Table58" displayName="Table58" ref="A33:A46" totalsRowShown="0" headerRowDxfId="127" dataDxfId="126">
  <autoFilter ref="A33:A46" xr:uid="{FDC7F10E-FBBC-4656-904D-7E5B4140BCA3}">
    <filterColumn colId="0" hiddenButton="1"/>
  </autoFilter>
  <tableColumns count="1">
    <tableColumn id="1" xr3:uid="{072899C5-554A-488D-9EFF-A131F45BB7A9}" name="Mês" dataDxfId="125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9CC0674-44A2-4C9B-8D9F-8529C97C5778}" name="Table59" displayName="Table59" ref="A49:A62" totalsRowShown="0" headerRowDxfId="124" dataDxfId="123">
  <autoFilter ref="A49:A62" xr:uid="{29CC0674-44A2-4C9B-8D9F-8529C97C5778}">
    <filterColumn colId="0" hiddenButton="1"/>
  </autoFilter>
  <tableColumns count="1">
    <tableColumn id="1" xr3:uid="{A34C8370-35B4-4224-BD54-E5ED64C7F8F3}" name="Mês" dataDxfId="122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5D3DFFF-7ADC-4A37-A02C-082A5C9800C5}" name="Table12" displayName="Table12" ref="C17:F30" totalsRowShown="0" headerRowDxfId="121" dataDxfId="119" headerRowBorderDxfId="120" tableBorderDxfId="118" totalsRowBorderDxfId="117">
  <autoFilter ref="C17:F30" xr:uid="{45D3DFFF-7ADC-4A37-A02C-082A5C9800C5}">
    <filterColumn colId="0" hiddenButton="1"/>
    <filterColumn colId="1" hiddenButton="1"/>
    <filterColumn colId="2" hiddenButton="1"/>
    <filterColumn colId="3" hiddenButton="1"/>
  </autoFilter>
  <tableColumns count="4">
    <tableColumn id="1" xr3:uid="{C2513BD6-EDEB-44BB-B8D2-345BAC3713F5}" name="ENTRADA" dataDxfId="116"/>
    <tableColumn id="2" xr3:uid="{1DA7FD5D-CB8E-475C-801E-DE3CECFFEEED}" name="SAÍDA" dataDxfId="115"/>
    <tableColumn id="3" xr3:uid="{F6451ED8-BC0F-4501-8594-C2493D4A4A90}" name="SALDO" dataDxfId="114"/>
    <tableColumn id="4" xr3:uid="{A7C80EC5-FB4B-4CC9-87B7-F5A60219F66E}" name="ACUMULADO" dataDxfId="113"/>
  </tableColumns>
  <tableStyleInfo name="TableStyleMedium1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E45ED97-10BF-4EE0-B24D-C4753E473BD6}" name="Table1214" displayName="Table1214" ref="H17:K30" totalsRowShown="0" headerRowDxfId="112" headerRowBorderDxfId="111" tableBorderDxfId="110" totalsRowBorderDxfId="109">
  <autoFilter ref="H17:K30" xr:uid="{FE45ED97-10BF-4EE0-B24D-C4753E473BD6}">
    <filterColumn colId="0" hiddenButton="1"/>
    <filterColumn colId="1" hiddenButton="1"/>
    <filterColumn colId="2" hiddenButton="1"/>
    <filterColumn colId="3" hiddenButton="1"/>
  </autoFilter>
  <tableColumns count="4">
    <tableColumn id="1" xr3:uid="{EC75F571-D040-420A-9155-311B0F20A384}" name="ENTRADA" dataDxfId="108"/>
    <tableColumn id="2" xr3:uid="{BAF80C29-4F94-4A95-B154-DCB20A376790}" name="SAÍDA" dataDxfId="107"/>
    <tableColumn id="3" xr3:uid="{A9599EC1-5FB5-4214-852C-82A874CCE8E2}" name="SALDO" dataDxfId="106"/>
    <tableColumn id="4" xr3:uid="{F178AF65-6D27-4EA3-82F3-CB3EF799FBBF}" name="ACUMULADO" dataDxfId="105"/>
  </tableColumns>
  <tableStyleInfo name="TableStyleMedium10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D763E0E-F508-4996-BD6A-BD2474C49225}" name="Table1215" displayName="Table1215" ref="M17:P30" totalsRowShown="0" headerRowDxfId="104" headerRowBorderDxfId="103" tableBorderDxfId="102" totalsRowBorderDxfId="101">
  <autoFilter ref="M17:P30" xr:uid="{BD763E0E-F508-4996-BD6A-BD2474C49225}">
    <filterColumn colId="0" hiddenButton="1"/>
    <filterColumn colId="1" hiddenButton="1"/>
    <filterColumn colId="2" hiddenButton="1"/>
    <filterColumn colId="3" hiddenButton="1"/>
  </autoFilter>
  <tableColumns count="4">
    <tableColumn id="1" xr3:uid="{8BCF3E79-24A4-4935-9AAD-DEDB6B5562C6}" name="ENTRADA" dataDxfId="100"/>
    <tableColumn id="2" xr3:uid="{51C8050A-FF9F-448A-9592-77903BB95680}" name="SAÍDA" dataDxfId="99"/>
    <tableColumn id="3" xr3:uid="{3A3ACFA7-022B-4795-862D-9E4916BA406F}" name="SALDO" dataDxfId="98"/>
    <tableColumn id="4" xr3:uid="{D531AB62-C480-4992-BCD9-31217D1E48AB}" name="ACUMULADO" dataDxfId="97"/>
  </tableColumns>
  <tableStyleInfo name="TableStyleMedium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F3FB03F-F54D-4C22-9FE7-61BDDA2577B1}" name="Table1216" displayName="Table1216" ref="R17:U30" totalsRowShown="0" headerRowDxfId="96" headerRowBorderDxfId="95" tableBorderDxfId="94" totalsRowBorderDxfId="93">
  <autoFilter ref="R17:U30" xr:uid="{9F3FB03F-F54D-4C22-9FE7-61BDDA2577B1}">
    <filterColumn colId="0" hiddenButton="1"/>
    <filterColumn colId="1" hiddenButton="1"/>
    <filterColumn colId="2" hiddenButton="1"/>
    <filterColumn colId="3" hiddenButton="1"/>
  </autoFilter>
  <tableColumns count="4">
    <tableColumn id="1" xr3:uid="{7C35BA0B-DED6-462F-9208-9D920C5A238C}" name="ENTRADA" dataDxfId="92"/>
    <tableColumn id="2" xr3:uid="{1F51076A-AED4-4299-B31E-8DD4C14AF8AB}" name="SAÍDA" dataDxfId="91"/>
    <tableColumn id="3" xr3:uid="{0DFE180B-C017-4000-98C2-FC1711D61DE8}" name="SALDO" dataDxfId="90"/>
    <tableColumn id="4" xr3:uid="{BB11D853-62C3-4169-BF1D-3812DDD2B148}" name="ACUMULADO" dataDxfId="89"/>
  </tableColumns>
  <tableStyleInfo name="TableStyleMedium10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A85DCBB-4BDF-4C47-8BBE-23345EE40D93}" name="Table19" displayName="Table19" ref="C33:F46" totalsRowShown="0" headerRowDxfId="88" dataDxfId="87">
  <autoFilter ref="C33:F46" xr:uid="{BA85DCBB-4BDF-4C47-8BBE-23345EE40D93}">
    <filterColumn colId="0" hiddenButton="1"/>
    <filterColumn colId="1" hiddenButton="1"/>
    <filterColumn colId="2" hiddenButton="1"/>
    <filterColumn colId="3" hiddenButton="1"/>
  </autoFilter>
  <tableColumns count="4">
    <tableColumn id="1" xr3:uid="{9769AFC6-C12D-45B6-9E4D-BE71CECCBA2A}" name="ENTRADA" dataDxfId="86"/>
    <tableColumn id="2" xr3:uid="{3F11884E-C165-4AFC-BC45-0CCAED40A5CC}" name="SAÍDA" dataDxfId="85"/>
    <tableColumn id="3" xr3:uid="{EF7DBCFF-5DB5-4D46-9712-C8C0E1729584}" name="SALDO" dataDxfId="84"/>
    <tableColumn id="4" xr3:uid="{A0B77A3B-F33C-45C9-82FA-EE7AB8594F44}" name="ACUMULADO" dataDxfId="83"/>
  </tableColumns>
  <tableStyleInfo name="TableStyleMedium1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21E1122-83D3-4501-BACD-C161FFC52DF0}" name="Table20" displayName="Table20" ref="H33:K46" totalsRowShown="0" headerRowDxfId="82" dataDxfId="81">
  <autoFilter ref="H33:K46" xr:uid="{021E1122-83D3-4501-BACD-C161FFC52DF0}">
    <filterColumn colId="0" hiddenButton="1"/>
    <filterColumn colId="1" hiddenButton="1"/>
    <filterColumn colId="2" hiddenButton="1"/>
    <filterColumn colId="3" hiddenButton="1"/>
  </autoFilter>
  <tableColumns count="4">
    <tableColumn id="1" xr3:uid="{5BA9FF0E-8FFF-4157-9657-8962DDA880BA}" name="ENTRADA" dataDxfId="80"/>
    <tableColumn id="2" xr3:uid="{0F74AF4E-44A9-44C7-91D0-D2CDCE773E6D}" name="SAÍDA" dataDxfId="79"/>
    <tableColumn id="3" xr3:uid="{FB461CEB-D22F-443C-816F-8386C10C90EC}" name="SALDO" dataDxfId="78">
      <calculatedColumnFormula>Table20[[#This Row],[ENTRADA]]-Table20[[#This Row],[SAÍDA]]</calculatedColumnFormula>
    </tableColumn>
    <tableColumn id="4" xr3:uid="{11895998-5DEE-4DDA-A5B7-C30994700769}" name="ACUMULADO" dataDxfId="77"/>
  </tableColumns>
  <tableStyleInfo name="TableStyleMedium1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659600FF-E77A-4856-99E6-86D139B47DC4}" name="Table21" displayName="Table21" ref="M33:P46" totalsRowShown="0" headerRowDxfId="76" dataDxfId="75">
  <autoFilter ref="M33:P46" xr:uid="{659600FF-E77A-4856-99E6-86D139B47DC4}">
    <filterColumn colId="0" hiddenButton="1"/>
    <filterColumn colId="1" hiddenButton="1"/>
    <filterColumn colId="2" hiddenButton="1"/>
    <filterColumn colId="3" hiddenButton="1"/>
  </autoFilter>
  <tableColumns count="4">
    <tableColumn id="1" xr3:uid="{9D124481-276B-4A57-93B4-8F102243C200}" name="ENTRADA" dataDxfId="74"/>
    <tableColumn id="2" xr3:uid="{7EB512BD-C111-4E84-9BC9-2E4E16242F6C}" name="SAÍDA" dataDxfId="73"/>
    <tableColumn id="3" xr3:uid="{866EA6B6-F9D2-4016-A41A-41800243B59F}" name="SALDO" dataDxfId="72">
      <calculatedColumnFormula>Table21[[#This Row],[ENTRADA]]-Table21[[#This Row],[SAÍDA]]</calculatedColumnFormula>
    </tableColumn>
    <tableColumn id="4" xr3:uid="{0A6456CE-A3CE-47B6-AD7F-2E7353C71D53}" name="ACUMULADO" dataDxfId="71"/>
  </tableColumns>
  <tableStyleInfo name="TableStyleMedium1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5E1742F9-3C29-464E-B884-BC92BE7140D5}" name="Table22" displayName="Table22" ref="C49:F62" totalsRowShown="0" headerRowDxfId="70" dataDxfId="69">
  <autoFilter ref="C49:F62" xr:uid="{5E1742F9-3C29-464E-B884-BC92BE7140D5}">
    <filterColumn colId="0" hiddenButton="1"/>
    <filterColumn colId="1" hiddenButton="1"/>
    <filterColumn colId="2" hiddenButton="1"/>
    <filterColumn colId="3" hiddenButton="1"/>
  </autoFilter>
  <tableColumns count="4">
    <tableColumn id="1" xr3:uid="{B34C0D78-0209-41C0-942A-370AEDBCAC9F}" name="ENTRADA" dataDxfId="68"/>
    <tableColumn id="2" xr3:uid="{238A552C-9C45-423D-A271-32308CD3AADB}" name="SAÍDA" dataDxfId="67"/>
    <tableColumn id="3" xr3:uid="{004A4A3C-31EC-49D4-9BD2-2BDB7A4CE2AA}" name="SALDO" dataDxfId="66"/>
    <tableColumn id="4" xr3:uid="{7436CE9C-4C25-41D7-9A57-65E0A01447C5}" name="ACUMULADO" dataDxfId="65"/>
  </tableColumns>
  <tableStyleInfo name="TableStyleMedium14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9F8F66C-155E-49A3-9BE3-288E967E40CA}" name="Table2224" displayName="Table2224" ref="H49:K62" totalsRowShown="0" headerRowDxfId="64" dataDxfId="63">
  <autoFilter ref="H49:K62" xr:uid="{09F8F66C-155E-49A3-9BE3-288E967E40CA}">
    <filterColumn colId="0" hiddenButton="1"/>
    <filterColumn colId="1" hiddenButton="1"/>
    <filterColumn colId="2" hiddenButton="1"/>
    <filterColumn colId="3" hiddenButton="1"/>
  </autoFilter>
  <tableColumns count="4">
    <tableColumn id="1" xr3:uid="{22312AD6-1B1C-471E-81E7-E60DE0553152}" name="ENTRADA" dataDxfId="62"/>
    <tableColumn id="2" xr3:uid="{AC7BA00F-EACD-48D8-B93C-ABEE44B36043}" name="SAÍDA" dataDxfId="61"/>
    <tableColumn id="3" xr3:uid="{D53510F8-0CDE-4CB4-92C7-15FDA389B729}" name="SALDO" dataDxfId="60"/>
    <tableColumn id="4" xr3:uid="{BCEE7704-9B3F-4D95-B56D-241434B29B34}" name="ACUMULADO" dataDxfId="59"/>
  </tableColumns>
  <tableStyleInfo name="TableStyleMedium14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5D9A25C4-27ED-445D-9CED-63F180F5D960}" name="Table2225" displayName="Table2225" ref="M49:P62" totalsRowShown="0" headerRowDxfId="58" dataDxfId="57">
  <autoFilter ref="M49:P62" xr:uid="{5D9A25C4-27ED-445D-9CED-63F180F5D960}">
    <filterColumn colId="0" hiddenButton="1"/>
    <filterColumn colId="1" hiddenButton="1"/>
    <filterColumn colId="2" hiddenButton="1"/>
    <filterColumn colId="3" hiddenButton="1"/>
  </autoFilter>
  <tableColumns count="4">
    <tableColumn id="1" xr3:uid="{83A4E09D-F138-4B05-AD41-14FA738B2E24}" name="ENTRADA" dataDxfId="56"/>
    <tableColumn id="2" xr3:uid="{043DA7A1-9971-47AE-BEDD-17D95FA54F9C}" name="SAÍDA" dataDxfId="55"/>
    <tableColumn id="3" xr3:uid="{ED23F640-69CE-4CBF-BDB6-7FBB3F14539F}" name="SALDO" dataDxfId="54"/>
    <tableColumn id="4" xr3:uid="{171E1B95-8D62-48D8-9F75-E7C49CFA440D}" name="ACUMULADO" dataDxfId="53"/>
  </tableColumns>
  <tableStyleInfo name="TableStyleMedium14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FAFA52D2-850F-49A9-AFF6-C35F0A4FA7B5}" name="Table2226" displayName="Table2226" ref="R49:U62" totalsRowShown="0" headerRowDxfId="52" dataDxfId="51">
  <autoFilter ref="R49:U62" xr:uid="{FAFA52D2-850F-49A9-AFF6-C35F0A4FA7B5}">
    <filterColumn colId="0" hiddenButton="1"/>
    <filterColumn colId="1" hiddenButton="1"/>
    <filterColumn colId="2" hiddenButton="1"/>
    <filterColumn colId="3" hiddenButton="1"/>
  </autoFilter>
  <tableColumns count="4">
    <tableColumn id="1" xr3:uid="{1663CA7B-45E8-4BF8-9600-6B1BAE23D9C2}" name="ENTRADA" dataDxfId="50"/>
    <tableColumn id="2" xr3:uid="{DBC2E731-886A-40A1-9017-3D93E36B69BA}" name="SAÍDA" dataDxfId="49"/>
    <tableColumn id="3" xr3:uid="{6A4C1132-D928-4202-9390-11E64198E34E}" name="SALDO" dataDxfId="48"/>
    <tableColumn id="4" xr3:uid="{93AEDD60-868E-4F46-96D8-4D9DF06C2269}" name="ACUMULADO" dataDxfId="47"/>
  </tableColumns>
  <tableStyleInfo name="TableStyleMedium14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C8366F2-30F8-4A38-8F23-7F74E4BFF157}" name="Table2227" displayName="Table2227" ref="W49:Z62" totalsRowShown="0" headerRowDxfId="46" dataDxfId="45">
  <autoFilter ref="W49:Z62" xr:uid="{0C8366F2-30F8-4A38-8F23-7F74E4BFF157}">
    <filterColumn colId="0" hiddenButton="1"/>
    <filterColumn colId="1" hiddenButton="1"/>
    <filterColumn colId="2" hiddenButton="1"/>
    <filterColumn colId="3" hiddenButton="1"/>
  </autoFilter>
  <tableColumns count="4">
    <tableColumn id="1" xr3:uid="{F7181A1B-2C85-4533-BAB8-E34A1FEEB110}" name="ENTRADA" dataDxfId="44"/>
    <tableColumn id="2" xr3:uid="{F675A55C-40AB-41DC-B0DC-A0F8DCE43DDB}" name="SAÍDA" dataDxfId="43"/>
    <tableColumn id="3" xr3:uid="{8A515C01-3C26-4B6E-95E6-8DEAEBE7E1C1}" name="SALDO" dataDxfId="42"/>
    <tableColumn id="4" xr3:uid="{038A9FFE-CC1E-4E3D-8F6A-F38AED76D6D2}" name="ACUMULADO" dataDxfId="41"/>
  </tableColumns>
  <tableStyleInfo name="TableStyleMedium14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B6C02E13-EC47-4D97-9554-D81373F96FBA}" name="Table2228" displayName="Table2228" ref="AB49:AE62" totalsRowShown="0" headerRowDxfId="40" dataDxfId="39">
  <autoFilter ref="AB49:AE62" xr:uid="{B6C02E13-EC47-4D97-9554-D81373F96FBA}">
    <filterColumn colId="0" hiddenButton="1"/>
    <filterColumn colId="1" hiddenButton="1"/>
    <filterColumn colId="2" hiddenButton="1"/>
    <filterColumn colId="3" hiddenButton="1"/>
  </autoFilter>
  <tableColumns count="4">
    <tableColumn id="1" xr3:uid="{57E078B9-23B3-45F4-B371-D8469EE07924}" name="ENTRADA" dataDxfId="38"/>
    <tableColumn id="2" xr3:uid="{91B7298F-3950-4857-B709-8FEE290D5D3B}" name="SAÍDA" dataDxfId="37"/>
    <tableColumn id="3" xr3:uid="{9C4BE36B-6307-4C68-8D27-C1722E1B04B2}" name="SALDO" dataDxfId="36"/>
    <tableColumn id="4" xr3:uid="{67D69844-7A51-409C-B8C0-40172520D3AA}" name="ACUMULADO" dataDxfId="35"/>
  </tableColumns>
  <tableStyleInfo name="TableStyleMedium14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73B78A39-AE08-4A3A-9E75-FB4397DA2295}" name="Table2229" displayName="Table2229" ref="AG49:AJ62" totalsRowShown="0" headerRowDxfId="34" dataDxfId="33">
  <autoFilter ref="AG49:AJ62" xr:uid="{73B78A39-AE08-4A3A-9E75-FB4397DA2295}">
    <filterColumn colId="0" hiddenButton="1"/>
    <filterColumn colId="1" hiddenButton="1"/>
    <filterColumn colId="2" hiddenButton="1"/>
    <filterColumn colId="3" hiddenButton="1"/>
  </autoFilter>
  <tableColumns count="4">
    <tableColumn id="1" xr3:uid="{CD1BF919-B0E1-4739-8C4E-353441AB56AD}" name="ENTRADA" dataDxfId="32"/>
    <tableColumn id="2" xr3:uid="{E434CAFA-803B-4C93-9C63-2E98C192F1B1}" name="SAÍDA" dataDxfId="31"/>
    <tableColumn id="3" xr3:uid="{4B142FF7-153F-4A22-83FC-92B06C77CCD1}" name="SALDO" dataDxfId="30"/>
    <tableColumn id="4" xr3:uid="{DC8EB7CB-00DB-4155-BA8B-85880559C7E0}" name="ACUMULADO" dataDxfId="29"/>
  </tableColumns>
  <tableStyleInfo name="TableStyleMedium14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6DC294F8-7CEF-423E-A9A6-EA9698356FD0}" name="Table33" displayName="Table33" ref="C1:E2" totalsRowShown="0" headerRowDxfId="28" dataDxfId="27">
  <autoFilter ref="C1:E2" xr:uid="{6DC294F8-7CEF-423E-A9A6-EA9698356FD0}">
    <filterColumn colId="0" hiddenButton="1"/>
    <filterColumn colId="1" hiddenButton="1"/>
    <filterColumn colId="2" hiddenButton="1"/>
  </autoFilter>
  <tableColumns count="3">
    <tableColumn id="1" xr3:uid="{0075EFF0-7394-453F-B70B-5DAEADEC190C}" name="Índice" dataDxfId="26">
      <calculatedColumnFormula array="1">_xlfn.IFS(Dashboard!C2=A2,1,Dashboard!C2=A3,2,Dashboard!C2=A4,3,Dashboard!C2=A5,4,Dashboard!C2=A6,5,Dashboard!C2=A7,6,Dashboard!C2=A8,7,Dashboard!C2=A9,8,Dashboard!C2=A10,9,Dashboard!C2=A11,10,Dashboard!C2=A12,11,Dashboard!C2=A13,12,Dashboard!C2=A14,13)</calculatedColumnFormula>
    </tableColumn>
    <tableColumn id="2" xr3:uid="{D7858DCA-785B-46CF-80EC-265C25C63020}" name="Seleção" dataDxfId="25">
      <calculatedColumnFormula array="1">INDEX(Table5[Mês],C2)</calculatedColumnFormula>
    </tableColumn>
    <tableColumn id="3" xr3:uid="{5A99A602-4E29-44A1-B6F9-A4AD43F54314}" name="Ano" dataDxfId="24">
      <calculatedColumnFormula>Select_Ano</calculatedColumnFormula>
    </tableColumn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C90A527-934C-406C-9174-4EEEC709F241}" name="Table2110" displayName="Table2110" ref="R33:U46" totalsRowShown="0" headerRowDxfId="23" headerRowBorderDxfId="22" tableBorderDxfId="21">
  <autoFilter ref="R33:U46" xr:uid="{0C90A527-934C-406C-9174-4EEEC709F241}">
    <filterColumn colId="0" hiddenButton="1"/>
    <filterColumn colId="1" hiddenButton="1"/>
    <filterColumn colId="2" hiddenButton="1"/>
    <filterColumn colId="3" hiddenButton="1"/>
  </autoFilter>
  <tableColumns count="4">
    <tableColumn id="1" xr3:uid="{D002148E-9681-4240-B69F-6B53AA271ED8}" name="ENTRADA" dataDxfId="20"/>
    <tableColumn id="2" xr3:uid="{9674B606-EC1E-4EC9-B57C-3FE0526EA097}" name="SAÍDA" dataDxfId="19"/>
    <tableColumn id="3" xr3:uid="{1C535AA9-F0A7-4602-BBAC-401F6AC37493}" name="SALDO" dataDxfId="18">
      <calculatedColumnFormula>Table2110[[#This Row],[ENTRADA]]-Table2110[[#This Row],[SAÍDA]]</calculatedColumnFormula>
    </tableColumn>
    <tableColumn id="4" xr3:uid="{9761927D-F60C-4CA4-8819-8265809AA0C2}" name="ACUMULADO" dataDxfId="17"/>
  </tableColumns>
  <tableStyleInfo name="TableStyleMedium1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FA114E-3ACB-4428-99FF-E2264C6DAED2}" name="Table121612" displayName="Table121612" ref="W17:Z30" totalsRowShown="0" headerRowDxfId="16" headerRowBorderDxfId="15" tableBorderDxfId="14" totalsRowBorderDxfId="13">
  <autoFilter ref="W17:Z30" xr:uid="{9DFA114E-3ACB-4428-99FF-E2264C6DAED2}">
    <filterColumn colId="0" hiddenButton="1"/>
    <filterColumn colId="1" hiddenButton="1"/>
    <filterColumn colId="2" hiddenButton="1"/>
    <filterColumn colId="3" hiddenButton="1"/>
  </autoFilter>
  <tableColumns count="4">
    <tableColumn id="1" xr3:uid="{BD6D7C5E-A048-4393-B49E-7F6662F598FB}" name="ENTRADA" dataDxfId="12"/>
    <tableColumn id="2" xr3:uid="{04484C2F-D648-4DC8-933E-C634ABCD2B61}" name="SAÍDA" dataDxfId="11"/>
    <tableColumn id="3" xr3:uid="{75C78DA8-823B-4207-9E31-3C3F4D75C62C}" name="SALDO" dataDxfId="10"/>
    <tableColumn id="4" xr3:uid="{2611457B-4340-4E0B-9502-4A037610A9D3}" name="ACUMULADO" dataDxfId="9"/>
  </tableColumns>
  <tableStyleInfo name="TableStyleMedium10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5931B25-DC3D-40E2-8A8A-4D03E5D1EA35}" name="Table5717" displayName="Table5717" ref="A65:A78" totalsRowShown="0" headerRowDxfId="8" dataDxfId="7">
  <autoFilter ref="A65:A78" xr:uid="{E5931B25-DC3D-40E2-8A8A-4D03E5D1EA35}">
    <filterColumn colId="0" hiddenButton="1"/>
  </autoFilter>
  <tableColumns count="1">
    <tableColumn id="1" xr3:uid="{388CF0C9-D6D1-4671-BE68-0E15E0727AE0}" name="Mês" dataDxfId="6"/>
  </tableColumns>
  <tableStyleInfo name="TableStyleMedium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B24AE307-4C29-4DEB-933D-727502A1AE32}" name="Table571731" displayName="Table571731" ref="A81:A94" totalsRowShown="0" headerRowDxfId="5" dataDxfId="4">
  <autoFilter ref="A81:A94" xr:uid="{B24AE307-4C29-4DEB-933D-727502A1AE32}">
    <filterColumn colId="0" hiddenButton="1"/>
  </autoFilter>
  <tableColumns count="1">
    <tableColumn id="1" xr3:uid="{F59FA51E-6C98-464F-9FD0-D758D2C23A6C}" name="Mês" dataDxfId="3"/>
  </tableColumns>
  <tableStyleInfo name="TableStyleMedium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51657EF-8875-43B0-9623-C2387DAE8FD1}" name="Table31" displayName="Table31" ref="S1:T13" totalsRowShown="0">
  <autoFilter ref="S1:T13" xr:uid="{F51657EF-8875-43B0-9623-C2387DAE8FD1}">
    <filterColumn colId="0" hiddenButton="1"/>
    <filterColumn colId="1" hiddenButton="1"/>
  </autoFilter>
  <tableColumns count="2">
    <tableColumn id="1" xr3:uid="{2549DAB9-418A-4066-8F4B-0BDD121EAFD2}" name="Patrimônio">
      <calculatedColumnFormula>IF($C$2&gt;=1,T2,0)</calculatedColumnFormula>
    </tableColumn>
    <tableColumn id="2" xr3:uid="{13A8CFE5-63DB-480F-89C5-242DC39B5268}" name="Column1">
      <calculatedColumnFormula>F18+K18+P18+U18+F50+K50+P50+U50+Z50+AE50</calculatedColumnFormula>
    </tableColumn>
  </tableColumns>
  <tableStyleInfo name="TableStyleMedium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A98FDED-9F5C-4B53-ACF5-258E1CD20B3E}" name="Table5733" displayName="Table5733" ref="R1:R13" totalsRowShown="0" headerRowDxfId="2" dataDxfId="1">
  <autoFilter ref="R1:R13" xr:uid="{BA98FDED-9F5C-4B53-ACF5-258E1CD20B3E}">
    <filterColumn colId="0" hiddenButton="1"/>
  </autoFilter>
  <tableColumns count="1">
    <tableColumn id="1" xr3:uid="{82BFE178-390F-473C-B33C-B431A457C6CE}" name="Mê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13" Type="http://schemas.openxmlformats.org/officeDocument/2006/relationships/table" Target="../tables/table19.xml"/><Relationship Id="rId18" Type="http://schemas.openxmlformats.org/officeDocument/2006/relationships/table" Target="../tables/table24.xml"/><Relationship Id="rId3" Type="http://schemas.openxmlformats.org/officeDocument/2006/relationships/table" Target="../tables/table9.xml"/><Relationship Id="rId21" Type="http://schemas.openxmlformats.org/officeDocument/2006/relationships/table" Target="../tables/table27.xml"/><Relationship Id="rId7" Type="http://schemas.openxmlformats.org/officeDocument/2006/relationships/table" Target="../tables/table13.xml"/><Relationship Id="rId12" Type="http://schemas.openxmlformats.org/officeDocument/2006/relationships/table" Target="../tables/table18.xml"/><Relationship Id="rId17" Type="http://schemas.openxmlformats.org/officeDocument/2006/relationships/table" Target="../tables/table23.xml"/><Relationship Id="rId25" Type="http://schemas.openxmlformats.org/officeDocument/2006/relationships/table" Target="../tables/table31.xml"/><Relationship Id="rId2" Type="http://schemas.openxmlformats.org/officeDocument/2006/relationships/table" Target="../tables/table8.xml"/><Relationship Id="rId16" Type="http://schemas.openxmlformats.org/officeDocument/2006/relationships/table" Target="../tables/table22.xml"/><Relationship Id="rId20" Type="http://schemas.openxmlformats.org/officeDocument/2006/relationships/table" Target="../tables/table26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24" Type="http://schemas.openxmlformats.org/officeDocument/2006/relationships/table" Target="../tables/table30.xml"/><Relationship Id="rId5" Type="http://schemas.openxmlformats.org/officeDocument/2006/relationships/table" Target="../tables/table11.xml"/><Relationship Id="rId15" Type="http://schemas.openxmlformats.org/officeDocument/2006/relationships/table" Target="../tables/table21.xml"/><Relationship Id="rId23" Type="http://schemas.openxmlformats.org/officeDocument/2006/relationships/table" Target="../tables/table29.xml"/><Relationship Id="rId10" Type="http://schemas.openxmlformats.org/officeDocument/2006/relationships/table" Target="../tables/table16.xml"/><Relationship Id="rId19" Type="http://schemas.openxmlformats.org/officeDocument/2006/relationships/table" Target="../tables/table25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Relationship Id="rId14" Type="http://schemas.openxmlformats.org/officeDocument/2006/relationships/table" Target="../tables/table20.xml"/><Relationship Id="rId22" Type="http://schemas.openxmlformats.org/officeDocument/2006/relationships/table" Target="../tables/table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6BC3C-5B10-4766-9D7C-69C38FB4030C}">
  <sheetPr codeName="Sheet7"/>
  <dimension ref="A1:Z75"/>
  <sheetViews>
    <sheetView zoomScaleNormal="100" zoomScaleSheetLayoutView="110" workbookViewId="0">
      <selection activeCell="C2" sqref="C2:D4"/>
    </sheetView>
  </sheetViews>
  <sheetFormatPr defaultColWidth="0" defaultRowHeight="15" zeroHeight="1" x14ac:dyDescent="0.25"/>
  <cols>
    <col min="1" max="1" width="3.42578125" style="84" customWidth="1"/>
    <col min="2" max="25" width="9.140625" style="84" customWidth="1"/>
    <col min="26" max="26" width="3.85546875" style="84" customWidth="1"/>
    <col min="27" max="16384" width="9.140625" style="84" hidden="1"/>
  </cols>
  <sheetData>
    <row r="1" spans="1:16" ht="15.75" thickBot="1" x14ac:dyDescent="0.3"/>
    <row r="2" spans="1:16" ht="15" customHeight="1" x14ac:dyDescent="0.25">
      <c r="A2" s="85"/>
      <c r="B2" s="111" t="s">
        <v>141</v>
      </c>
      <c r="C2" s="114" t="s">
        <v>126</v>
      </c>
      <c r="D2" s="115"/>
      <c r="F2" s="120"/>
      <c r="G2" s="121"/>
      <c r="H2" s="121"/>
      <c r="I2" s="121"/>
      <c r="J2" s="121"/>
      <c r="K2" s="121"/>
      <c r="L2" s="121"/>
      <c r="M2" s="121"/>
      <c r="N2" s="121"/>
      <c r="O2" s="121"/>
      <c r="P2" s="122"/>
    </row>
    <row r="3" spans="1:16" ht="15" customHeight="1" x14ac:dyDescent="0.25">
      <c r="B3" s="112"/>
      <c r="C3" s="116"/>
      <c r="D3" s="117"/>
      <c r="E3" s="86"/>
      <c r="F3" s="123"/>
      <c r="G3" s="124"/>
      <c r="H3" s="124"/>
      <c r="I3" s="124"/>
      <c r="J3" s="124"/>
      <c r="K3" s="124"/>
      <c r="L3" s="124"/>
      <c r="M3" s="124"/>
      <c r="N3" s="124"/>
      <c r="O3" s="124"/>
      <c r="P3" s="125"/>
    </row>
    <row r="4" spans="1:16" ht="15.75" customHeight="1" thickBot="1" x14ac:dyDescent="0.3">
      <c r="A4" s="85"/>
      <c r="B4" s="113"/>
      <c r="C4" s="118"/>
      <c r="D4" s="119"/>
      <c r="E4" s="86"/>
      <c r="F4" s="123"/>
      <c r="G4" s="124"/>
      <c r="H4" s="124"/>
      <c r="I4" s="124"/>
      <c r="J4" s="124"/>
      <c r="K4" s="124"/>
      <c r="L4" s="124"/>
      <c r="M4" s="124"/>
      <c r="N4" s="124"/>
      <c r="O4" s="124"/>
      <c r="P4" s="125"/>
    </row>
    <row r="5" spans="1:16" ht="15.75" thickBot="1" x14ac:dyDescent="0.3">
      <c r="B5" s="87"/>
      <c r="C5" s="87"/>
      <c r="D5" s="87"/>
      <c r="F5" s="126"/>
      <c r="G5" s="127"/>
      <c r="H5" s="127"/>
      <c r="I5" s="127"/>
      <c r="J5" s="127"/>
      <c r="K5" s="127"/>
      <c r="L5" s="127"/>
      <c r="M5" s="127"/>
      <c r="N5" s="127"/>
      <c r="O5" s="127"/>
      <c r="P5" s="128"/>
    </row>
    <row r="6" spans="1:16" ht="16.5" thickBot="1" x14ac:dyDescent="0.3">
      <c r="B6" s="133" t="s">
        <v>201</v>
      </c>
      <c r="C6" s="134"/>
      <c r="D6" s="135"/>
    </row>
    <row r="7" spans="1:16" ht="16.5" thickBot="1" x14ac:dyDescent="0.3">
      <c r="F7" s="133" t="s">
        <v>200</v>
      </c>
      <c r="G7" s="134"/>
      <c r="H7" s="134"/>
      <c r="I7" s="134"/>
      <c r="J7" s="134"/>
      <c r="K7" s="134"/>
      <c r="L7" s="134"/>
      <c r="M7" s="134"/>
      <c r="N7" s="134"/>
      <c r="O7" s="134"/>
      <c r="P7" s="135"/>
    </row>
    <row r="8" spans="1:16" ht="15.75" thickBot="1" x14ac:dyDescent="0.3">
      <c r="B8" s="99">
        <f>Cálculos!D82</f>
        <v>0</v>
      </c>
      <c r="C8" s="100"/>
      <c r="D8" s="101"/>
    </row>
    <row r="9" spans="1:16" x14ac:dyDescent="0.25">
      <c r="B9" s="102"/>
      <c r="C9" s="103"/>
      <c r="D9" s="104"/>
      <c r="F9" s="99">
        <f>Cálculos!I82</f>
        <v>0</v>
      </c>
      <c r="G9" s="100"/>
      <c r="H9" s="100"/>
      <c r="I9" s="86"/>
      <c r="J9" s="99">
        <f>Cálculos!I83</f>
        <v>0</v>
      </c>
      <c r="K9" s="100"/>
      <c r="L9" s="101"/>
      <c r="M9" s="88"/>
      <c r="N9" s="132">
        <f>Cálculos!I84</f>
        <v>0</v>
      </c>
      <c r="O9" s="100"/>
      <c r="P9" s="101"/>
    </row>
    <row r="10" spans="1:16" ht="16.5" thickBot="1" x14ac:dyDescent="0.3">
      <c r="B10" s="136" t="str">
        <f>Orçamento!I16</f>
        <v>Conta Corrente 1</v>
      </c>
      <c r="C10" s="137"/>
      <c r="D10" s="138"/>
      <c r="F10" s="102"/>
      <c r="G10" s="103"/>
      <c r="H10" s="103"/>
      <c r="I10" s="86"/>
      <c r="J10" s="102"/>
      <c r="K10" s="103"/>
      <c r="L10" s="104"/>
      <c r="M10" s="88"/>
      <c r="N10" s="103"/>
      <c r="O10" s="103"/>
      <c r="P10" s="104"/>
    </row>
    <row r="11" spans="1:16" ht="16.5" thickBot="1" x14ac:dyDescent="0.3">
      <c r="F11" s="129" t="str">
        <f>Orçamento!I23</f>
        <v>Cartão de Crédito 1</v>
      </c>
      <c r="G11" s="130"/>
      <c r="H11" s="130"/>
      <c r="I11" s="88"/>
      <c r="J11" s="129" t="str">
        <f>Orçamento!I24</f>
        <v>Cartão de Crédito 2</v>
      </c>
      <c r="K11" s="130"/>
      <c r="L11" s="131"/>
      <c r="M11" s="88"/>
      <c r="N11" s="130" t="str">
        <f>Orçamento!I25</f>
        <v>Cartão de Crédito 3</v>
      </c>
      <c r="O11" s="130"/>
      <c r="P11" s="131"/>
    </row>
    <row r="12" spans="1:16" x14ac:dyDescent="0.25">
      <c r="B12" s="99">
        <f>Cálculos!D83</f>
        <v>0</v>
      </c>
      <c r="C12" s="100"/>
      <c r="D12" s="101"/>
    </row>
    <row r="13" spans="1:16" ht="15.75" thickBot="1" x14ac:dyDescent="0.3">
      <c r="B13" s="102"/>
      <c r="C13" s="103"/>
      <c r="D13" s="104"/>
      <c r="K13" s="89"/>
    </row>
    <row r="14" spans="1:16" ht="16.5" thickBot="1" x14ac:dyDescent="0.3">
      <c r="B14" s="136" t="str">
        <f>Orçamento!I17</f>
        <v>Conta Corrente 2</v>
      </c>
      <c r="C14" s="137"/>
      <c r="D14" s="138"/>
      <c r="F14" s="133" t="s">
        <v>100</v>
      </c>
      <c r="G14" s="134"/>
      <c r="H14" s="134"/>
      <c r="I14" s="134"/>
      <c r="J14" s="134"/>
      <c r="K14" s="134"/>
      <c r="L14" s="134"/>
      <c r="M14" s="134"/>
      <c r="N14" s="134"/>
      <c r="O14" s="134"/>
      <c r="P14" s="135"/>
    </row>
    <row r="15" spans="1:16" ht="15.75" thickBot="1" x14ac:dyDescent="0.3"/>
    <row r="16" spans="1:16" x14ac:dyDescent="0.25">
      <c r="B16" s="99">
        <f>Cálculos!D84</f>
        <v>0</v>
      </c>
      <c r="C16" s="100"/>
      <c r="D16" s="101"/>
      <c r="F16" s="99">
        <f>Cálculos!N82</f>
        <v>0</v>
      </c>
      <c r="G16" s="100"/>
      <c r="H16" s="101"/>
      <c r="J16" s="99">
        <f>Cálculos!N83</f>
        <v>0</v>
      </c>
      <c r="K16" s="100"/>
      <c r="L16" s="101"/>
      <c r="N16" s="99">
        <f>Cálculos!N84</f>
        <v>0</v>
      </c>
      <c r="O16" s="100"/>
      <c r="P16" s="101"/>
    </row>
    <row r="17" spans="2:18" x14ac:dyDescent="0.25">
      <c r="B17" s="102"/>
      <c r="C17" s="103"/>
      <c r="D17" s="104"/>
      <c r="F17" s="102"/>
      <c r="G17" s="103"/>
      <c r="H17" s="104"/>
      <c r="J17" s="102"/>
      <c r="K17" s="103"/>
      <c r="L17" s="104"/>
      <c r="N17" s="102"/>
      <c r="O17" s="103"/>
      <c r="P17" s="104"/>
    </row>
    <row r="18" spans="2:18" ht="16.5" thickBot="1" x14ac:dyDescent="0.3">
      <c r="B18" s="136" t="str">
        <f>Orçamento!I18</f>
        <v>Carteira 1</v>
      </c>
      <c r="C18" s="137"/>
      <c r="D18" s="138"/>
      <c r="F18" s="96" t="str">
        <f>Orçamento!I29</f>
        <v>Curto prazo</v>
      </c>
      <c r="G18" s="97"/>
      <c r="H18" s="98"/>
      <c r="J18" s="96" t="str">
        <f>Orçamento!I30</f>
        <v>Médio prazo</v>
      </c>
      <c r="K18" s="97"/>
      <c r="L18" s="98"/>
      <c r="N18" s="96" t="str">
        <f>Orçamento!I31</f>
        <v>Longo prazo</v>
      </c>
      <c r="O18" s="97"/>
      <c r="P18" s="98"/>
    </row>
    <row r="19" spans="2:18" ht="15.75" thickBot="1" x14ac:dyDescent="0.3"/>
    <row r="20" spans="2:18" x14ac:dyDescent="0.25">
      <c r="B20" s="99">
        <f>Cálculos!D85</f>
        <v>0</v>
      </c>
      <c r="C20" s="100"/>
      <c r="D20" s="101"/>
      <c r="F20" s="105" t="e">
        <f>Cálculos!N85/Orçamento!A9</f>
        <v>#DIV/0!</v>
      </c>
      <c r="G20" s="106"/>
      <c r="H20" s="107"/>
      <c r="J20" s="99">
        <f>Cálculos!N86</f>
        <v>0</v>
      </c>
      <c r="K20" s="100"/>
      <c r="L20" s="101"/>
      <c r="N20" s="99">
        <f>Cálculos!N87</f>
        <v>0</v>
      </c>
      <c r="O20" s="100"/>
      <c r="P20" s="101"/>
    </row>
    <row r="21" spans="2:18" x14ac:dyDescent="0.25">
      <c r="B21" s="102"/>
      <c r="C21" s="103"/>
      <c r="D21" s="104"/>
      <c r="F21" s="108"/>
      <c r="G21" s="109"/>
      <c r="H21" s="110"/>
      <c r="J21" s="102"/>
      <c r="K21" s="103"/>
      <c r="L21" s="104"/>
      <c r="N21" s="102"/>
      <c r="O21" s="103"/>
      <c r="P21" s="104"/>
    </row>
    <row r="22" spans="2:18" ht="16.5" thickBot="1" x14ac:dyDescent="0.3">
      <c r="B22" s="136" t="str">
        <f>Orçamento!I19</f>
        <v>Carteira 2</v>
      </c>
      <c r="C22" s="137"/>
      <c r="D22" s="138"/>
      <c r="F22" s="96" t="str">
        <f>Orçamento!I32</f>
        <v>Reserva de emergência</v>
      </c>
      <c r="G22" s="97"/>
      <c r="H22" s="98"/>
      <c r="J22" s="96" t="str">
        <f>Orçamento!I33</f>
        <v>Viagens</v>
      </c>
      <c r="K22" s="97"/>
      <c r="L22" s="98"/>
      <c r="N22" s="96" t="str">
        <f>Orçamento!I34</f>
        <v>Educação</v>
      </c>
      <c r="O22" s="97"/>
      <c r="P22" s="98"/>
    </row>
    <row r="23" spans="2:18" x14ac:dyDescent="0.25">
      <c r="R23" s="84" t="s">
        <v>204</v>
      </c>
    </row>
    <row r="24" spans="2:18" x14ac:dyDescent="0.25"/>
    <row r="25" spans="2:18" x14ac:dyDescent="0.25"/>
    <row r="26" spans="2:18" x14ac:dyDescent="0.25"/>
    <row r="27" spans="2:18" x14ac:dyDescent="0.25"/>
    <row r="28" spans="2:18" x14ac:dyDescent="0.25"/>
    <row r="29" spans="2:18" x14ac:dyDescent="0.25"/>
    <row r="30" spans="2:18" x14ac:dyDescent="0.25"/>
    <row r="31" spans="2:18" x14ac:dyDescent="0.25"/>
    <row r="32" spans="2:18" x14ac:dyDescent="0.25"/>
    <row r="33" s="84" customFormat="1" x14ac:dyDescent="0.25"/>
    <row r="34" s="84" customFormat="1" x14ac:dyDescent="0.25"/>
    <row r="35" s="84" customFormat="1" x14ac:dyDescent="0.25"/>
    <row r="36" s="84" customFormat="1" x14ac:dyDescent="0.25"/>
    <row r="37" s="84" customFormat="1" x14ac:dyDescent="0.25"/>
    <row r="38" s="84" customFormat="1" x14ac:dyDescent="0.25"/>
    <row r="39" s="84" customFormat="1" x14ac:dyDescent="0.25"/>
    <row r="40" s="84" customFormat="1" x14ac:dyDescent="0.25"/>
    <row r="41" s="84" customFormat="1" x14ac:dyDescent="0.25"/>
    <row r="42" s="84" customFormat="1" x14ac:dyDescent="0.25"/>
    <row r="43" s="84" customFormat="1" x14ac:dyDescent="0.25"/>
    <row r="44" s="84" customFormat="1" x14ac:dyDescent="0.25"/>
    <row r="45" s="84" customFormat="1" x14ac:dyDescent="0.25"/>
    <row r="46" s="84" customFormat="1" hidden="1" x14ac:dyDescent="0.25"/>
    <row r="47" s="84" customFormat="1" hidden="1" x14ac:dyDescent="0.25"/>
    <row r="48" s="84" customFormat="1" hidden="1" x14ac:dyDescent="0.25"/>
    <row r="49" s="84" customFormat="1" hidden="1" x14ac:dyDescent="0.25"/>
    <row r="50" s="84" customFormat="1" hidden="1" x14ac:dyDescent="0.25"/>
    <row r="51" s="84" customFormat="1" hidden="1" x14ac:dyDescent="0.25"/>
    <row r="52" s="84" customFormat="1" hidden="1" x14ac:dyDescent="0.25"/>
    <row r="53" s="84" customFormat="1" hidden="1" x14ac:dyDescent="0.25"/>
    <row r="54" s="84" customFormat="1" hidden="1" x14ac:dyDescent="0.25"/>
    <row r="55" s="84" customFormat="1" hidden="1" x14ac:dyDescent="0.25"/>
    <row r="56" s="84" customFormat="1" hidden="1" x14ac:dyDescent="0.25"/>
    <row r="57" s="84" customFormat="1" hidden="1" x14ac:dyDescent="0.25"/>
    <row r="58" s="84" customFormat="1" hidden="1" x14ac:dyDescent="0.25"/>
    <row r="59" s="84" customFormat="1" hidden="1" x14ac:dyDescent="0.25"/>
    <row r="60" s="84" customFormat="1" hidden="1" x14ac:dyDescent="0.25"/>
    <row r="61" s="84" customFormat="1" hidden="1" x14ac:dyDescent="0.25"/>
    <row r="62" s="84" customFormat="1" hidden="1" x14ac:dyDescent="0.25"/>
    <row r="63" s="84" customFormat="1" hidden="1" x14ac:dyDescent="0.25"/>
    <row r="64" s="84" customFormat="1" hidden="1" x14ac:dyDescent="0.25"/>
    <row r="65" s="84" customFormat="1" hidden="1" x14ac:dyDescent="0.25"/>
    <row r="66" s="84" customFormat="1" hidden="1" x14ac:dyDescent="0.25"/>
    <row r="67" s="84" customFormat="1" hidden="1" x14ac:dyDescent="0.25"/>
    <row r="68" s="84" customFormat="1" hidden="1" x14ac:dyDescent="0.25"/>
    <row r="69" s="84" customFormat="1" hidden="1" x14ac:dyDescent="0.25"/>
    <row r="70" s="84" customFormat="1" hidden="1" x14ac:dyDescent="0.25"/>
    <row r="71" s="84" customFormat="1" hidden="1" x14ac:dyDescent="0.25"/>
    <row r="72" s="84" customFormat="1" hidden="1" x14ac:dyDescent="0.25"/>
    <row r="73" s="84" customFormat="1" hidden="1" x14ac:dyDescent="0.25"/>
    <row r="74" s="84" customFormat="1" hidden="1" x14ac:dyDescent="0.25"/>
    <row r="75" s="84" customFormat="1" hidden="1" x14ac:dyDescent="0.25"/>
  </sheetData>
  <sheetProtection algorithmName="SHA-512" hashValue="QFt0qT2mBQ057EDiZwHZdhRtjcrFGKsTJ+f5AW/sbhIv8hQLsWobq+eK4wJiry9KtkAMi4b9L1zeredkQy7g4g==" saltValue="Vb95fZAkX2zG1ghMWPNqeA==" spinCount="100000" sheet="1" objects="1" scenarios="1"/>
  <protectedRanges>
    <protectedRange sqref="C2" name="Dashboard"/>
  </protectedRanges>
  <mergeCells count="32">
    <mergeCell ref="B16:D17"/>
    <mergeCell ref="B18:D18"/>
    <mergeCell ref="B20:D21"/>
    <mergeCell ref="B22:D22"/>
    <mergeCell ref="B6:D6"/>
    <mergeCell ref="F14:P14"/>
    <mergeCell ref="B10:D10"/>
    <mergeCell ref="B8:D9"/>
    <mergeCell ref="B12:D13"/>
    <mergeCell ref="B14:D14"/>
    <mergeCell ref="B2:B4"/>
    <mergeCell ref="C2:D4"/>
    <mergeCell ref="F2:P5"/>
    <mergeCell ref="F9:H10"/>
    <mergeCell ref="F11:H11"/>
    <mergeCell ref="J11:L11"/>
    <mergeCell ref="J9:L10"/>
    <mergeCell ref="N9:P10"/>
    <mergeCell ref="N11:P11"/>
    <mergeCell ref="F7:P7"/>
    <mergeCell ref="F16:H17"/>
    <mergeCell ref="F18:H18"/>
    <mergeCell ref="J16:L17"/>
    <mergeCell ref="N16:P17"/>
    <mergeCell ref="F20:H21"/>
    <mergeCell ref="J20:L21"/>
    <mergeCell ref="N20:P21"/>
    <mergeCell ref="F22:H22"/>
    <mergeCell ref="J22:L22"/>
    <mergeCell ref="J18:L18"/>
    <mergeCell ref="N22:P22"/>
    <mergeCell ref="N18:P18"/>
  </mergeCells>
  <conditionalFormatting sqref="B8:D9 B12:D13 B16:D17 B20:D21 F16:H17 J16:L17 J20:L21 N20:P21 N16:P17 N9:P10 J9:L10 F9:H10">
    <cfRule type="cellIs" dxfId="170" priority="3" operator="lessThan">
      <formula>0</formula>
    </cfRule>
    <cfRule type="cellIs" dxfId="169" priority="4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scale="36" orientation="portrait" horizontalDpi="30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CBA152-6406-4DDE-A179-B401856B48D3}">
          <x14:formula1>
            <xm:f>Cálculos!$A$2:$A$14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8D854-5C17-422F-BEBD-76F550B58D2E}">
  <sheetPr codeName="Sheet4"/>
  <dimension ref="A1:AS77"/>
  <sheetViews>
    <sheetView zoomScaleNormal="100" zoomScaleSheetLayoutView="100" workbookViewId="0">
      <pane ySplit="3" topLeftCell="A4" activePane="bottomLeft" state="frozen"/>
      <selection pane="bottomLeft" activeCell="D75" sqref="D75:O75"/>
    </sheetView>
  </sheetViews>
  <sheetFormatPr defaultColWidth="0" defaultRowHeight="15" zeroHeight="1" x14ac:dyDescent="0.25"/>
  <cols>
    <col min="1" max="1" width="5.7109375" style="14" customWidth="1"/>
    <col min="2" max="2" width="23.85546875" style="14" bestFit="1" customWidth="1"/>
    <col min="3" max="3" width="5.7109375" style="14" customWidth="1"/>
    <col min="4" max="15" width="15.7109375" style="14" customWidth="1"/>
    <col min="16" max="16" width="5.7109375" style="14" customWidth="1"/>
    <col min="17" max="18" width="15.7109375" style="14" customWidth="1"/>
    <col min="19" max="19" width="5.7109375" style="14" customWidth="1"/>
    <col min="20" max="20" width="3.42578125" style="14" customWidth="1"/>
    <col min="21" max="44" width="9.140625" style="14" hidden="1" customWidth="1"/>
    <col min="45" max="45" width="2.140625" style="14" hidden="1" customWidth="1"/>
    <col min="46" max="16384" width="9.140625" style="14" hidden="1"/>
  </cols>
  <sheetData>
    <row r="1" spans="1:20" x14ac:dyDescent="0.25">
      <c r="T1" s="139"/>
    </row>
    <row r="2" spans="1:20" x14ac:dyDescent="0.25">
      <c r="D2" s="147" t="s">
        <v>94</v>
      </c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Q2" s="147" t="s">
        <v>95</v>
      </c>
      <c r="R2" s="147"/>
      <c r="T2" s="139"/>
    </row>
    <row r="3" spans="1:20" x14ac:dyDescent="0.25">
      <c r="D3" s="18" t="s">
        <v>82</v>
      </c>
      <c r="E3" s="18" t="s">
        <v>83</v>
      </c>
      <c r="F3" s="18" t="s">
        <v>84</v>
      </c>
      <c r="G3" s="18" t="s">
        <v>85</v>
      </c>
      <c r="H3" s="18" t="s">
        <v>86</v>
      </c>
      <c r="I3" s="18" t="s">
        <v>87</v>
      </c>
      <c r="J3" s="18" t="s">
        <v>88</v>
      </c>
      <c r="K3" s="18" t="s">
        <v>89</v>
      </c>
      <c r="L3" s="18" t="s">
        <v>90</v>
      </c>
      <c r="M3" s="18" t="s">
        <v>91</v>
      </c>
      <c r="N3" s="18" t="s">
        <v>92</v>
      </c>
      <c r="O3" s="18" t="s">
        <v>93</v>
      </c>
      <c r="Q3" s="18" t="s">
        <v>96</v>
      </c>
      <c r="R3" s="18" t="s">
        <v>97</v>
      </c>
      <c r="T3" s="139"/>
    </row>
    <row r="4" spans="1:20" x14ac:dyDescent="0.25">
      <c r="T4" s="139"/>
    </row>
    <row r="5" spans="1:20" ht="26.25" x14ac:dyDescent="0.4">
      <c r="A5" s="140" t="s">
        <v>98</v>
      </c>
      <c r="B5" s="140"/>
      <c r="C5" s="140"/>
      <c r="D5" s="140"/>
      <c r="E5" s="140"/>
      <c r="F5" s="140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39"/>
    </row>
    <row r="6" spans="1:20" x14ac:dyDescent="0.25">
      <c r="B6" s="19" t="s">
        <v>41</v>
      </c>
      <c r="T6" s="139"/>
    </row>
    <row r="7" spans="1:20" x14ac:dyDescent="0.25">
      <c r="B7" s="16" t="str">
        <f>Lista!$D$6</f>
        <v>Salário 1</v>
      </c>
      <c r="D7" s="36">
        <f>SUMIFS(T_dados[VALOR],T_dados[CATEGORIA],"Renda",T_dados[SUBCATEGORIA],$B7,T_dados[DATA],"&gt;="&amp;JAN_I,T_dados[DATA],"&lt;="&amp;JAN_F)</f>
        <v>0</v>
      </c>
      <c r="E7" s="36">
        <f>SUMIFS(T_dados[VALOR],T_dados[CATEGORIA],"Renda",T_dados[SUBCATEGORIA],$B7,T_dados[DATA],"&gt;="&amp;FEV_I,T_dados[DATA],"&lt;="&amp;FEV_F)</f>
        <v>0</v>
      </c>
      <c r="F7" s="36">
        <f>SUMIFS(T_dados[VALOR],T_dados[CATEGORIA],"Renda",T_dados[SUBCATEGORIA],$B7,T_dados[DATA],"&gt;="&amp;MAR_I,T_dados[DATA],"&lt;="&amp;MAR_F)</f>
        <v>0</v>
      </c>
      <c r="G7" s="36">
        <f>SUMIFS(T_dados[VALOR],T_dados[CATEGORIA],"Renda",T_dados[SUBCATEGORIA],$B7,T_dados[DATA],"&gt;="&amp;ABR_I,T_dados[DATA],"&lt;="&amp;ABR_F)</f>
        <v>0</v>
      </c>
      <c r="H7" s="36">
        <f>SUMIFS(T_dados[VALOR],T_dados[CATEGORIA],"Renda",T_dados[SUBCATEGORIA],$B7,T_dados[DATA],"&gt;="&amp;MAI_I,T_dados[DATA],"&lt;="&amp;MAI_F)</f>
        <v>0</v>
      </c>
      <c r="I7" s="36">
        <f>SUMIFS(T_dados[VALOR],T_dados[CATEGORIA],"Renda",T_dados[SUBCATEGORIA],$B7,T_dados[DATA],"&gt;="&amp;JUN_I,T_dados[DATA],"&lt;="&amp;JUN_F)</f>
        <v>0</v>
      </c>
      <c r="J7" s="36">
        <f>SUMIFS(T_dados[VALOR],T_dados[CATEGORIA],"Renda",T_dados[SUBCATEGORIA],$B7,T_dados[DATA],"&gt;="&amp;JUL_I,T_dados[DATA],"&lt;="&amp;JUL_F)</f>
        <v>0</v>
      </c>
      <c r="K7" s="36">
        <f>SUMIFS(T_dados[VALOR],T_dados[CATEGORIA],"Renda",T_dados[SUBCATEGORIA],$B7,T_dados[DATA],"&gt;="&amp;AGO_I,T_dados[DATA],"&lt;="&amp;AGO_F)</f>
        <v>0</v>
      </c>
      <c r="L7" s="36">
        <f>SUMIFS(T_dados[VALOR],T_dados[CATEGORIA],"Renda",T_dados[SUBCATEGORIA],$B7,T_dados[DATA],"&gt;="&amp;SET_I,T_dados[DATA],"&lt;="&amp;SET_F)</f>
        <v>0</v>
      </c>
      <c r="M7" s="36">
        <f>SUMIFS(T_dados[VALOR],T_dados[CATEGORIA],"Renda",T_dados[SUBCATEGORIA],$B7,T_dados[DATA],"&gt;="&amp;OUT_I,T_dados[DATA],"&lt;="&amp;OUT_F)</f>
        <v>0</v>
      </c>
      <c r="N7" s="36">
        <f>SUMIFS(T_dados[VALOR],T_dados[CATEGORIA],"Renda",T_dados[SUBCATEGORIA],$B7,T_dados[DATA],"&gt;="&amp;NOV_I,T_dados[DATA],"&lt;="&amp;NOV_F)</f>
        <v>0</v>
      </c>
      <c r="O7" s="36">
        <f>SUMIFS(T_dados[VALOR],T_dados[CATEGORIA],"Renda",T_dados[SUBCATEGORIA],$B7,T_dados[DATA],"&gt;="&amp;DEZ_I,T_dados[DATA],"&lt;="&amp;DEZ_F)</f>
        <v>0</v>
      </c>
      <c r="Q7" s="141">
        <f>Orçamento!B38*12</f>
        <v>0</v>
      </c>
      <c r="R7" s="148">
        <f>SUM(D7:O12)</f>
        <v>0</v>
      </c>
      <c r="T7" s="139"/>
    </row>
    <row r="8" spans="1:20" x14ac:dyDescent="0.25">
      <c r="B8" s="16" t="str">
        <f>Lista!$D$7</f>
        <v>Salário 2</v>
      </c>
      <c r="D8" s="36">
        <f>SUMIFS(T_dados[VALOR],T_dados[CATEGORIA],"Renda",T_dados[SUBCATEGORIA],$B8,T_dados[DATA],"&gt;="&amp;JAN_I,T_dados[DATA],"&lt;="&amp;JAN_F)</f>
        <v>0</v>
      </c>
      <c r="E8" s="36">
        <f>SUMIFS(T_dados[VALOR],T_dados[CATEGORIA],"Renda",T_dados[SUBCATEGORIA],$B8,T_dados[DATA],"&gt;="&amp;FEV_I,T_dados[DATA],"&lt;="&amp;FEV_F)</f>
        <v>0</v>
      </c>
      <c r="F8" s="36">
        <f>SUMIFS(T_dados[VALOR],T_dados[CATEGORIA],"Renda",T_dados[SUBCATEGORIA],$B8,T_dados[DATA],"&gt;="&amp;MAR_I,T_dados[DATA],"&lt;="&amp;MAR_F)</f>
        <v>0</v>
      </c>
      <c r="G8" s="36">
        <f>SUMIFS(T_dados[VALOR],T_dados[CATEGORIA],"Renda",T_dados[SUBCATEGORIA],$B8,T_dados[DATA],"&gt;="&amp;ABR_I,T_dados[DATA],"&lt;="&amp;ABR_F)</f>
        <v>0</v>
      </c>
      <c r="H8" s="36">
        <f>SUMIFS(T_dados[VALOR],T_dados[CATEGORIA],"Renda",T_dados[SUBCATEGORIA],$B8,T_dados[DATA],"&gt;="&amp;MAI_I,T_dados[DATA],"&lt;="&amp;MAI_F)</f>
        <v>0</v>
      </c>
      <c r="I8" s="36">
        <f>SUMIFS(T_dados[VALOR],T_dados[CATEGORIA],"Renda",T_dados[SUBCATEGORIA],$B8,T_dados[DATA],"&gt;="&amp;JUN_I,T_dados[DATA],"&lt;="&amp;JUN_F)</f>
        <v>0</v>
      </c>
      <c r="J8" s="36">
        <f>SUMIFS(T_dados[VALOR],T_dados[CATEGORIA],"Renda",T_dados[SUBCATEGORIA],$B8,T_dados[DATA],"&gt;="&amp;JUL_I,T_dados[DATA],"&lt;="&amp;JUL_F)</f>
        <v>0</v>
      </c>
      <c r="K8" s="36">
        <f>SUMIFS(T_dados[VALOR],T_dados[CATEGORIA],"Renda",T_dados[SUBCATEGORIA],$B8,T_dados[DATA],"&gt;="&amp;AGO_I,T_dados[DATA],"&lt;="&amp;AGO_F)</f>
        <v>0</v>
      </c>
      <c r="L8" s="36">
        <f>SUMIFS(T_dados[VALOR],T_dados[CATEGORIA],"Renda",T_dados[SUBCATEGORIA],$B8,T_dados[DATA],"&gt;="&amp;SET_I,T_dados[DATA],"&lt;="&amp;SET_F)</f>
        <v>0</v>
      </c>
      <c r="M8" s="36">
        <f>SUMIFS(T_dados[VALOR],T_dados[CATEGORIA],"Renda",T_dados[SUBCATEGORIA],$B8,T_dados[DATA],"&gt;="&amp;OUT_I,T_dados[DATA],"&lt;="&amp;OUT_F)</f>
        <v>0</v>
      </c>
      <c r="N8" s="36">
        <f>SUMIFS(T_dados[VALOR],T_dados[CATEGORIA],"Renda",T_dados[SUBCATEGORIA],$B8,T_dados[DATA],"&gt;="&amp;NOV_I,T_dados[DATA],"&lt;="&amp;NOV_F)</f>
        <v>0</v>
      </c>
      <c r="O8" s="36">
        <f>SUMIFS(T_dados[VALOR],T_dados[CATEGORIA],"Renda",T_dados[SUBCATEGORIA],$B8,T_dados[DATA],"&gt;="&amp;DEZ_I,T_dados[DATA],"&lt;="&amp;DEZ_F)</f>
        <v>0</v>
      </c>
      <c r="Q8" s="142"/>
      <c r="R8" s="149"/>
      <c r="T8" s="139"/>
    </row>
    <row r="9" spans="1:20" x14ac:dyDescent="0.25">
      <c r="B9" s="16" t="str">
        <f>Lista!$D$2</f>
        <v>Bônus</v>
      </c>
      <c r="D9" s="36">
        <f>SUMIFS(T_dados[VALOR],T_dados[CATEGORIA],"Renda",T_dados[SUBCATEGORIA],$B9,T_dados[DATA],"&gt;="&amp;JAN_I,T_dados[DATA],"&lt;="&amp;JAN_F)</f>
        <v>0</v>
      </c>
      <c r="E9" s="36">
        <f>SUMIFS(T_dados[VALOR],T_dados[CATEGORIA],"Renda",T_dados[SUBCATEGORIA],$B9,T_dados[DATA],"&gt;="&amp;FEV_I,T_dados[DATA],"&lt;="&amp;FEV_F)</f>
        <v>0</v>
      </c>
      <c r="F9" s="36">
        <f>SUMIFS(T_dados[VALOR],T_dados[CATEGORIA],"Renda",T_dados[SUBCATEGORIA],$B9,T_dados[DATA],"&gt;="&amp;MAR_I,T_dados[DATA],"&lt;="&amp;MAR_F)</f>
        <v>0</v>
      </c>
      <c r="G9" s="36">
        <f>SUMIFS(T_dados[VALOR],T_dados[CATEGORIA],"Renda",T_dados[SUBCATEGORIA],$B9,T_dados[DATA],"&gt;="&amp;ABR_I,T_dados[DATA],"&lt;="&amp;ABR_F)</f>
        <v>0</v>
      </c>
      <c r="H9" s="36">
        <f>SUMIFS(T_dados[VALOR],T_dados[CATEGORIA],"Renda",T_dados[SUBCATEGORIA],$B9,T_dados[DATA],"&gt;="&amp;MAI_I,T_dados[DATA],"&lt;="&amp;MAI_F)</f>
        <v>0</v>
      </c>
      <c r="I9" s="36">
        <f>SUMIFS(T_dados[VALOR],T_dados[CATEGORIA],"Renda",T_dados[SUBCATEGORIA],$B9,T_dados[DATA],"&gt;="&amp;JUN_I,T_dados[DATA],"&lt;="&amp;JUN_F)</f>
        <v>0</v>
      </c>
      <c r="J9" s="36">
        <f>SUMIFS(T_dados[VALOR],T_dados[CATEGORIA],"Renda",T_dados[SUBCATEGORIA],$B9,T_dados[DATA],"&gt;="&amp;JUL_I,T_dados[DATA],"&lt;="&amp;JUL_F)</f>
        <v>0</v>
      </c>
      <c r="K9" s="36">
        <f>SUMIFS(T_dados[VALOR],T_dados[CATEGORIA],"Renda",T_dados[SUBCATEGORIA],$B9,T_dados[DATA],"&gt;="&amp;AGO_I,T_dados[DATA],"&lt;="&amp;AGO_F)</f>
        <v>0</v>
      </c>
      <c r="L9" s="36">
        <f>SUMIFS(T_dados[VALOR],T_dados[CATEGORIA],"Renda",T_dados[SUBCATEGORIA],$B9,T_dados[DATA],"&gt;="&amp;SET_I,T_dados[DATA],"&lt;="&amp;SET_F)</f>
        <v>0</v>
      </c>
      <c r="M9" s="36">
        <f>SUMIFS(T_dados[VALOR],T_dados[CATEGORIA],"Renda",T_dados[SUBCATEGORIA],$B9,T_dados[DATA],"&gt;="&amp;OUT_I,T_dados[DATA],"&lt;="&amp;OUT_F)</f>
        <v>0</v>
      </c>
      <c r="N9" s="36">
        <f>SUMIFS(T_dados[VALOR],T_dados[CATEGORIA],"Renda",T_dados[SUBCATEGORIA],$B9,T_dados[DATA],"&gt;="&amp;NOV_I,T_dados[DATA],"&lt;="&amp;NOV_F)</f>
        <v>0</v>
      </c>
      <c r="O9" s="36">
        <f>SUMIFS(T_dados[VALOR],T_dados[CATEGORIA],"Renda",T_dados[SUBCATEGORIA],$B9,T_dados[DATA],"&gt;="&amp;DEZ_I,T_dados[DATA],"&lt;="&amp;DEZ_F)</f>
        <v>0</v>
      </c>
      <c r="Q9" s="142"/>
      <c r="R9" s="149"/>
      <c r="T9" s="139"/>
    </row>
    <row r="10" spans="1:20" x14ac:dyDescent="0.25">
      <c r="B10" s="16" t="str">
        <f>Lista!$D$3</f>
        <v>Outros</v>
      </c>
      <c r="D10" s="36">
        <f>SUMIFS(T_dados[VALOR],T_dados[CATEGORIA],"Renda",T_dados[SUBCATEGORIA],$B10,T_dados[DATA],"&gt;="&amp;JAN_I,T_dados[DATA],"&lt;="&amp;JAN_F)</f>
        <v>0</v>
      </c>
      <c r="E10" s="36">
        <f>SUMIFS(T_dados[VALOR],T_dados[CATEGORIA],"Renda",T_dados[SUBCATEGORIA],$B10,T_dados[DATA],"&gt;="&amp;FEV_I,T_dados[DATA],"&lt;="&amp;FEV_F)</f>
        <v>0</v>
      </c>
      <c r="F10" s="36">
        <f>SUMIFS(T_dados[VALOR],T_dados[CATEGORIA],"Renda",T_dados[SUBCATEGORIA],$B10,T_dados[DATA],"&gt;="&amp;MAR_I,T_dados[DATA],"&lt;="&amp;MAR_F)</f>
        <v>0</v>
      </c>
      <c r="G10" s="36">
        <f>SUMIFS(T_dados[VALOR],T_dados[CATEGORIA],"Renda",T_dados[SUBCATEGORIA],$B10,T_dados[DATA],"&gt;="&amp;ABR_I,T_dados[DATA],"&lt;="&amp;ABR_F)</f>
        <v>0</v>
      </c>
      <c r="H10" s="36">
        <f>SUMIFS(T_dados[VALOR],T_dados[CATEGORIA],"Renda",T_dados[SUBCATEGORIA],$B10,T_dados[DATA],"&gt;="&amp;MAI_I,T_dados[DATA],"&lt;="&amp;MAI_F)</f>
        <v>0</v>
      </c>
      <c r="I10" s="36">
        <f>SUMIFS(T_dados[VALOR],T_dados[CATEGORIA],"Renda",T_dados[SUBCATEGORIA],$B10,T_dados[DATA],"&gt;="&amp;JUN_I,T_dados[DATA],"&lt;="&amp;JUN_F)</f>
        <v>0</v>
      </c>
      <c r="J10" s="36">
        <f>SUMIFS(T_dados[VALOR],T_dados[CATEGORIA],"Renda",T_dados[SUBCATEGORIA],$B10,T_dados[DATA],"&gt;="&amp;JUL_I,T_dados[DATA],"&lt;="&amp;JUL_F)</f>
        <v>0</v>
      </c>
      <c r="K10" s="36">
        <f>SUMIFS(T_dados[VALOR],T_dados[CATEGORIA],"Renda",T_dados[SUBCATEGORIA],$B10,T_dados[DATA],"&gt;="&amp;AGO_I,T_dados[DATA],"&lt;="&amp;AGO_F)</f>
        <v>0</v>
      </c>
      <c r="L10" s="36">
        <f>SUMIFS(T_dados[VALOR],T_dados[CATEGORIA],"Renda",T_dados[SUBCATEGORIA],$B10,T_dados[DATA],"&gt;="&amp;SET_I,T_dados[DATA],"&lt;="&amp;SET_F)</f>
        <v>0</v>
      </c>
      <c r="M10" s="36">
        <f>SUMIFS(T_dados[VALOR],T_dados[CATEGORIA],"Renda",T_dados[SUBCATEGORIA],$B10,T_dados[DATA],"&gt;="&amp;OUT_I,T_dados[DATA],"&lt;="&amp;OUT_F)</f>
        <v>0</v>
      </c>
      <c r="N10" s="36">
        <f>SUMIFS(T_dados[VALOR],T_dados[CATEGORIA],"Renda",T_dados[SUBCATEGORIA],$B10,T_dados[DATA],"&gt;="&amp;NOV_I,T_dados[DATA],"&lt;="&amp;NOV_F)</f>
        <v>0</v>
      </c>
      <c r="O10" s="36">
        <f>SUMIFS(T_dados[VALOR],T_dados[CATEGORIA],"Renda",T_dados[SUBCATEGORIA],$B10,T_dados[DATA],"&gt;="&amp;DEZ_I,T_dados[DATA],"&lt;="&amp;DEZ_F)</f>
        <v>0</v>
      </c>
      <c r="Q10" s="142"/>
      <c r="R10" s="149"/>
      <c r="T10" s="139"/>
    </row>
    <row r="11" spans="1:20" x14ac:dyDescent="0.25">
      <c r="B11" s="16" t="str">
        <f>Lista!$D$4</f>
        <v>Rendimentos</v>
      </c>
      <c r="D11" s="36">
        <f>SUMIFS(T_dados[VALOR],T_dados[CATEGORIA],"Renda",T_dados[SUBCATEGORIA],$B11,T_dados[DATA],"&gt;="&amp;JAN_I,T_dados[DATA],"&lt;="&amp;JAN_F)</f>
        <v>0</v>
      </c>
      <c r="E11" s="36">
        <f>SUMIFS(T_dados[VALOR],T_dados[CATEGORIA],"Renda",T_dados[SUBCATEGORIA],$B11,T_dados[DATA],"&gt;="&amp;FEV_I,T_dados[DATA],"&lt;="&amp;FEV_F)</f>
        <v>0</v>
      </c>
      <c r="F11" s="36">
        <f>SUMIFS(T_dados[VALOR],T_dados[CATEGORIA],"Renda",T_dados[SUBCATEGORIA],$B11,T_dados[DATA],"&gt;="&amp;MAR_I,T_dados[DATA],"&lt;="&amp;MAR_F)</f>
        <v>0</v>
      </c>
      <c r="G11" s="36">
        <f>SUMIFS(T_dados[VALOR],T_dados[CATEGORIA],"Renda",T_dados[SUBCATEGORIA],$B11,T_dados[DATA],"&gt;="&amp;ABR_I,T_dados[DATA],"&lt;="&amp;ABR_F)</f>
        <v>0</v>
      </c>
      <c r="H11" s="36">
        <f>SUMIFS(T_dados[VALOR],T_dados[CATEGORIA],"Renda",T_dados[SUBCATEGORIA],$B11,T_dados[DATA],"&gt;="&amp;MAI_I,T_dados[DATA],"&lt;="&amp;MAI_F)</f>
        <v>0</v>
      </c>
      <c r="I11" s="36">
        <f>SUMIFS(T_dados[VALOR],T_dados[CATEGORIA],"Renda",T_dados[SUBCATEGORIA],$B11,T_dados[DATA],"&gt;="&amp;JUN_I,T_dados[DATA],"&lt;="&amp;JUN_F)</f>
        <v>0</v>
      </c>
      <c r="J11" s="36">
        <f>SUMIFS(T_dados[VALOR],T_dados[CATEGORIA],"Renda",T_dados[SUBCATEGORIA],$B11,T_dados[DATA],"&gt;="&amp;JUL_I,T_dados[DATA],"&lt;="&amp;JUL_F)</f>
        <v>0</v>
      </c>
      <c r="K11" s="36">
        <f>SUMIFS(T_dados[VALOR],T_dados[CATEGORIA],"Renda",T_dados[SUBCATEGORIA],$B11,T_dados[DATA],"&gt;="&amp;AGO_I,T_dados[DATA],"&lt;="&amp;AGO_F)</f>
        <v>0</v>
      </c>
      <c r="L11" s="36">
        <f>SUMIFS(T_dados[VALOR],T_dados[CATEGORIA],"Renda",T_dados[SUBCATEGORIA],$B11,T_dados[DATA],"&gt;="&amp;SET_I,T_dados[DATA],"&lt;="&amp;SET_F)</f>
        <v>0</v>
      </c>
      <c r="M11" s="36">
        <f>SUMIFS(T_dados[VALOR],T_dados[CATEGORIA],"Renda",T_dados[SUBCATEGORIA],$B11,T_dados[DATA],"&gt;="&amp;OUT_I,T_dados[DATA],"&lt;="&amp;OUT_F)</f>
        <v>0</v>
      </c>
      <c r="N11" s="36">
        <f>SUMIFS(T_dados[VALOR],T_dados[CATEGORIA],"Renda",T_dados[SUBCATEGORIA],$B11,T_dados[DATA],"&gt;="&amp;NOV_I,T_dados[DATA],"&lt;="&amp;NOV_F)</f>
        <v>0</v>
      </c>
      <c r="O11" s="36">
        <f>SUMIFS(T_dados[VALOR],T_dados[CATEGORIA],"Renda",T_dados[SUBCATEGORIA],$B11,T_dados[DATA],"&gt;="&amp;DEZ_I,T_dados[DATA],"&lt;="&amp;DEZ_F)</f>
        <v>0</v>
      </c>
      <c r="Q11" s="142"/>
      <c r="R11" s="149"/>
      <c r="T11" s="139"/>
    </row>
    <row r="12" spans="1:20" x14ac:dyDescent="0.25">
      <c r="B12" s="16" t="str">
        <f>Lista!$D$5</f>
        <v>Restituição IR</v>
      </c>
      <c r="D12" s="36">
        <f>SUMIFS(T_dados[VALOR],T_dados[CATEGORIA],"Renda",T_dados[SUBCATEGORIA],$B12,T_dados[DATA],"&gt;="&amp;JAN_I,T_dados[DATA],"&lt;="&amp;JAN_F)</f>
        <v>0</v>
      </c>
      <c r="E12" s="36">
        <f>SUMIFS(T_dados[VALOR],T_dados[CATEGORIA],"Renda",T_dados[SUBCATEGORIA],$B12,T_dados[DATA],"&gt;="&amp;FEV_I,T_dados[DATA],"&lt;="&amp;FEV_F)</f>
        <v>0</v>
      </c>
      <c r="F12" s="36">
        <f>SUMIFS(T_dados[VALOR],T_dados[CATEGORIA],"Renda",T_dados[SUBCATEGORIA],$B12,T_dados[DATA],"&gt;="&amp;MAR_I,T_dados[DATA],"&lt;="&amp;MAR_F)</f>
        <v>0</v>
      </c>
      <c r="G12" s="36">
        <f>SUMIFS(T_dados[VALOR],T_dados[CATEGORIA],"Renda",T_dados[SUBCATEGORIA],$B12,T_dados[DATA],"&gt;="&amp;ABR_I,T_dados[DATA],"&lt;="&amp;ABR_F)</f>
        <v>0</v>
      </c>
      <c r="H12" s="36">
        <f>SUMIFS(T_dados[VALOR],T_dados[CATEGORIA],"Renda",T_dados[SUBCATEGORIA],$B12,T_dados[DATA],"&gt;="&amp;MAI_I,T_dados[DATA],"&lt;="&amp;MAI_F)</f>
        <v>0</v>
      </c>
      <c r="I12" s="36">
        <f>SUMIFS(T_dados[VALOR],T_dados[CATEGORIA],"Renda",T_dados[SUBCATEGORIA],$B12,T_dados[DATA],"&gt;="&amp;JUN_I,T_dados[DATA],"&lt;="&amp;JUN_F)</f>
        <v>0</v>
      </c>
      <c r="J12" s="36">
        <f>SUMIFS(T_dados[VALOR],T_dados[CATEGORIA],"Renda",T_dados[SUBCATEGORIA],$B12,T_dados[DATA],"&gt;="&amp;JUL_I,T_dados[DATA],"&lt;="&amp;JUL_F)</f>
        <v>0</v>
      </c>
      <c r="K12" s="36">
        <f>SUMIFS(T_dados[VALOR],T_dados[CATEGORIA],"Renda",T_dados[SUBCATEGORIA],$B12,T_dados[DATA],"&gt;="&amp;AGO_I,T_dados[DATA],"&lt;="&amp;AGO_F)</f>
        <v>0</v>
      </c>
      <c r="L12" s="36">
        <f>SUMIFS(T_dados[VALOR],T_dados[CATEGORIA],"Renda",T_dados[SUBCATEGORIA],$B12,T_dados[DATA],"&gt;="&amp;SET_I,T_dados[DATA],"&lt;="&amp;SET_F)</f>
        <v>0</v>
      </c>
      <c r="M12" s="36">
        <f>SUMIFS(T_dados[VALOR],T_dados[CATEGORIA],"Renda",T_dados[SUBCATEGORIA],$B12,T_dados[DATA],"&gt;="&amp;OUT_I,T_dados[DATA],"&lt;="&amp;OUT_F)</f>
        <v>0</v>
      </c>
      <c r="N12" s="36">
        <f>SUMIFS(T_dados[VALOR],T_dados[CATEGORIA],"Renda",T_dados[SUBCATEGORIA],$B12,T_dados[DATA],"&gt;="&amp;NOV_I,T_dados[DATA],"&lt;="&amp;NOV_F)</f>
        <v>0</v>
      </c>
      <c r="O12" s="36">
        <f>SUMIFS(T_dados[VALOR],T_dados[CATEGORIA],"Renda",T_dados[SUBCATEGORIA],$B12,T_dados[DATA],"&gt;="&amp;DEZ_I,T_dados[DATA],"&lt;="&amp;DEZ_F)</f>
        <v>0</v>
      </c>
      <c r="Q12" s="142"/>
      <c r="R12" s="150"/>
      <c r="T12" s="139"/>
    </row>
    <row r="13" spans="1:20" x14ac:dyDescent="0.25">
      <c r="T13" s="139"/>
    </row>
    <row r="14" spans="1:20" ht="26.25" x14ac:dyDescent="0.4">
      <c r="A14" s="140" t="s">
        <v>99</v>
      </c>
      <c r="B14" s="140"/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39"/>
    </row>
    <row r="15" spans="1:20" x14ac:dyDescent="0.25">
      <c r="B15" s="19" t="s">
        <v>47</v>
      </c>
      <c r="T15" s="139"/>
    </row>
    <row r="16" spans="1:20" x14ac:dyDescent="0.25">
      <c r="B16" s="16" t="s">
        <v>48</v>
      </c>
      <c r="D16" s="36">
        <f>SUMIFS(T_dados[VALOR],T_dados[CATEGORIA],"Casa",T_dados[SUBCATEGORIA],$B16,T_dados[DATA],"&gt;="&amp;JAN_I,T_dados[DATA],"&lt;="&amp;JAN_F)</f>
        <v>0</v>
      </c>
      <c r="E16" s="36">
        <f>SUMIFS(T_dados[VALOR],T_dados[CATEGORIA],"Casa",T_dados[SUBCATEGORIA],$B16,T_dados[DATA],"&gt;="&amp;FEV_I,T_dados[DATA],"&lt;="&amp;FEV_F)</f>
        <v>0</v>
      </c>
      <c r="F16" s="36">
        <f>SUMIFS(T_dados[VALOR],T_dados[CATEGORIA],"Casa",T_dados[SUBCATEGORIA],$B16,T_dados[DATA],"&gt;="&amp;MAR_I,T_dados[DATA],"&lt;="&amp;MAR_F)</f>
        <v>0</v>
      </c>
      <c r="G16" s="36">
        <f>SUMIFS(T_dados[VALOR],T_dados[CATEGORIA],"Casa",T_dados[SUBCATEGORIA],$B16,T_dados[DATA],"&gt;="&amp;ABR_I,T_dados[DATA],"&lt;="&amp;ABR_F)</f>
        <v>0</v>
      </c>
      <c r="H16" s="36">
        <f>SUMIFS(T_dados[VALOR],T_dados[CATEGORIA],"Casa",T_dados[SUBCATEGORIA],$B16,T_dados[DATA],"&gt;="&amp;MAI_I,T_dados[DATA],"&lt;="&amp;MAI_F)</f>
        <v>0</v>
      </c>
      <c r="I16" s="36">
        <f>SUMIFS(T_dados[VALOR],T_dados[CATEGORIA],"Casa",T_dados[SUBCATEGORIA],$B16,T_dados[DATA],"&gt;="&amp;JUN_I,T_dados[DATA],"&lt;="&amp;JUN_F)</f>
        <v>0</v>
      </c>
      <c r="J16" s="36">
        <f>SUMIFS(T_dados[VALOR],T_dados[CATEGORIA],"Casa",T_dados[SUBCATEGORIA],$B16,T_dados[DATA],"&gt;="&amp;JUL_I,T_dados[DATA],"&lt;="&amp;JUL_F)</f>
        <v>0</v>
      </c>
      <c r="K16" s="36">
        <f>SUMIFS(T_dados[VALOR],T_dados[CATEGORIA],"Casa",T_dados[SUBCATEGORIA],$B16,T_dados[DATA],"&gt;="&amp;AGO_I,T_dados[DATA],"&lt;="&amp;AGO_F)</f>
        <v>0</v>
      </c>
      <c r="L16" s="36">
        <f>SUMIFS(T_dados[VALOR],T_dados[CATEGORIA],"Casa",T_dados[SUBCATEGORIA],$B16,T_dados[DATA],"&gt;="&amp;SET_I,T_dados[DATA],"&lt;="&amp;SET_F)</f>
        <v>0</v>
      </c>
      <c r="M16" s="36">
        <f>SUMIFS(T_dados[VALOR],T_dados[CATEGORIA],"Casa",T_dados[SUBCATEGORIA],$B16,T_dados[DATA],"&gt;="&amp;OUT_I,T_dados[DATA],"&lt;="&amp;OUT_F)</f>
        <v>0</v>
      </c>
      <c r="N16" s="36">
        <f>SUMIFS(T_dados[VALOR],T_dados[CATEGORIA],"Casa",T_dados[SUBCATEGORIA],$B16,T_dados[DATA],"&gt;="&amp;NOV_I,T_dados[DATA],"&lt;="&amp;NOV_F)</f>
        <v>0</v>
      </c>
      <c r="O16" s="36">
        <f>SUMIFS(T_dados[VALOR],T_dados[CATEGORIA],"Casa",T_dados[SUBCATEGORIA],$B16,T_dados[DATA],"&gt;="&amp;DEZ_I,T_dados[DATA],"&lt;="&amp;DEZ_F)</f>
        <v>0</v>
      </c>
      <c r="Q16" s="141">
        <f>Orçamento!B39*12</f>
        <v>0</v>
      </c>
      <c r="R16" s="144">
        <f>SUM(D16:O23)</f>
        <v>0</v>
      </c>
      <c r="T16" s="139"/>
    </row>
    <row r="17" spans="2:20" x14ac:dyDescent="0.25">
      <c r="B17" s="17" t="s">
        <v>49</v>
      </c>
      <c r="D17" s="36">
        <f>SUMIFS(T_dados[VALOR],T_dados[CATEGORIA],"Casa",T_dados[SUBCATEGORIA],$B17,T_dados[DATA],"&gt;="&amp;JAN_I,T_dados[DATA],"&lt;="&amp;JAN_F)</f>
        <v>0</v>
      </c>
      <c r="E17" s="36">
        <f>SUMIFS(T_dados[VALOR],T_dados[CATEGORIA],"Casa",T_dados[SUBCATEGORIA],$B17,T_dados[DATA],"&gt;="&amp;FEV_I,T_dados[DATA],"&lt;="&amp;FEV_F)</f>
        <v>0</v>
      </c>
      <c r="F17" s="36">
        <f>SUMIFS(T_dados[VALOR],T_dados[CATEGORIA],"Casa",T_dados[SUBCATEGORIA],$B17,T_dados[DATA],"&gt;="&amp;MAR_I,T_dados[DATA],"&lt;="&amp;MAR_F)</f>
        <v>0</v>
      </c>
      <c r="G17" s="36">
        <f>SUMIFS(T_dados[VALOR],T_dados[CATEGORIA],"Casa",T_dados[SUBCATEGORIA],$B17,T_dados[DATA],"&gt;="&amp;ABR_I,T_dados[DATA],"&lt;="&amp;ABR_F)</f>
        <v>0</v>
      </c>
      <c r="H17" s="36">
        <f>SUMIFS(T_dados[VALOR],T_dados[CATEGORIA],"Casa",T_dados[SUBCATEGORIA],$B17,T_dados[DATA],"&gt;="&amp;MAI_I,T_dados[DATA],"&lt;="&amp;MAI_F)</f>
        <v>0</v>
      </c>
      <c r="I17" s="36">
        <f>SUMIFS(T_dados[VALOR],T_dados[CATEGORIA],"Casa",T_dados[SUBCATEGORIA],$B17,T_dados[DATA],"&gt;="&amp;JUN_I,T_dados[DATA],"&lt;="&amp;JUN_F)</f>
        <v>0</v>
      </c>
      <c r="J17" s="36">
        <f>SUMIFS(T_dados[VALOR],T_dados[CATEGORIA],"Casa",T_dados[SUBCATEGORIA],$B17,T_dados[DATA],"&gt;="&amp;JUL_I,T_dados[DATA],"&lt;="&amp;JUL_F)</f>
        <v>0</v>
      </c>
      <c r="K17" s="36">
        <f>SUMIFS(T_dados[VALOR],T_dados[CATEGORIA],"Casa",T_dados[SUBCATEGORIA],$B17,T_dados[DATA],"&gt;="&amp;AGO_I,T_dados[DATA],"&lt;="&amp;AGO_F)</f>
        <v>0</v>
      </c>
      <c r="L17" s="36">
        <f>SUMIFS(T_dados[VALOR],T_dados[CATEGORIA],"Casa",T_dados[SUBCATEGORIA],$B17,T_dados[DATA],"&gt;="&amp;SET_I,T_dados[DATA],"&lt;="&amp;SET_F)</f>
        <v>0</v>
      </c>
      <c r="M17" s="36">
        <f>SUMIFS(T_dados[VALOR],T_dados[CATEGORIA],"Casa",T_dados[SUBCATEGORIA],$B17,T_dados[DATA],"&gt;="&amp;OUT_I,T_dados[DATA],"&lt;="&amp;OUT_F)</f>
        <v>0</v>
      </c>
      <c r="N17" s="36">
        <f>SUMIFS(T_dados[VALOR],T_dados[CATEGORIA],"Casa",T_dados[SUBCATEGORIA],$B17,T_dados[DATA],"&gt;="&amp;NOV_I,T_dados[DATA],"&lt;="&amp;NOV_F)</f>
        <v>0</v>
      </c>
      <c r="O17" s="36">
        <f>SUMIFS(T_dados[VALOR],T_dados[CATEGORIA],"Casa",T_dados[SUBCATEGORIA],$B17,T_dados[DATA],"&gt;="&amp;DEZ_I,T_dados[DATA],"&lt;="&amp;DEZ_F)</f>
        <v>0</v>
      </c>
      <c r="Q17" s="142"/>
      <c r="R17" s="145"/>
      <c r="T17" s="139"/>
    </row>
    <row r="18" spans="2:20" x14ac:dyDescent="0.25">
      <c r="B18" s="17" t="s">
        <v>50</v>
      </c>
      <c r="D18" s="36">
        <f>SUMIFS(T_dados[VALOR],T_dados[CATEGORIA],"Casa",T_dados[SUBCATEGORIA],$B18,T_dados[DATA],"&gt;="&amp;JAN_I,T_dados[DATA],"&lt;="&amp;JAN_F)</f>
        <v>0</v>
      </c>
      <c r="E18" s="36">
        <f>SUMIFS(T_dados[VALOR],T_dados[CATEGORIA],"Casa",T_dados[SUBCATEGORIA],$B18,T_dados[DATA],"&gt;="&amp;FEV_I,T_dados[DATA],"&lt;="&amp;FEV_F)</f>
        <v>0</v>
      </c>
      <c r="F18" s="36">
        <f>SUMIFS(T_dados[VALOR],T_dados[CATEGORIA],"Casa",T_dados[SUBCATEGORIA],$B18,T_dados[DATA],"&gt;="&amp;MAR_I,T_dados[DATA],"&lt;="&amp;MAR_F)</f>
        <v>0</v>
      </c>
      <c r="G18" s="36">
        <f>SUMIFS(T_dados[VALOR],T_dados[CATEGORIA],"Casa",T_dados[SUBCATEGORIA],$B18,T_dados[DATA],"&gt;="&amp;ABR_I,T_dados[DATA],"&lt;="&amp;ABR_F)</f>
        <v>0</v>
      </c>
      <c r="H18" s="36">
        <f>SUMIFS(T_dados[VALOR],T_dados[CATEGORIA],"Casa",T_dados[SUBCATEGORIA],$B18,T_dados[DATA],"&gt;="&amp;MAI_I,T_dados[DATA],"&lt;="&amp;MAI_F)</f>
        <v>0</v>
      </c>
      <c r="I18" s="36">
        <f>SUMIFS(T_dados[VALOR],T_dados[CATEGORIA],"Casa",T_dados[SUBCATEGORIA],$B18,T_dados[DATA],"&gt;="&amp;JUN_I,T_dados[DATA],"&lt;="&amp;JUN_F)</f>
        <v>0</v>
      </c>
      <c r="J18" s="36">
        <f>SUMIFS(T_dados[VALOR],T_dados[CATEGORIA],"Casa",T_dados[SUBCATEGORIA],$B18,T_dados[DATA],"&gt;="&amp;JUL_I,T_dados[DATA],"&lt;="&amp;JUL_F)</f>
        <v>0</v>
      </c>
      <c r="K18" s="36">
        <f>SUMIFS(T_dados[VALOR],T_dados[CATEGORIA],"Casa",T_dados[SUBCATEGORIA],$B18,T_dados[DATA],"&gt;="&amp;AGO_I,T_dados[DATA],"&lt;="&amp;AGO_F)</f>
        <v>0</v>
      </c>
      <c r="L18" s="36">
        <f>SUMIFS(T_dados[VALOR],T_dados[CATEGORIA],"Casa",T_dados[SUBCATEGORIA],$B18,T_dados[DATA],"&gt;="&amp;SET_I,T_dados[DATA],"&lt;="&amp;SET_F)</f>
        <v>0</v>
      </c>
      <c r="M18" s="36">
        <f>SUMIFS(T_dados[VALOR],T_dados[CATEGORIA],"Casa",T_dados[SUBCATEGORIA],$B18,T_dados[DATA],"&gt;="&amp;OUT_I,T_dados[DATA],"&lt;="&amp;OUT_F)</f>
        <v>0</v>
      </c>
      <c r="N18" s="36">
        <f>SUMIFS(T_dados[VALOR],T_dados[CATEGORIA],"Casa",T_dados[SUBCATEGORIA],$B18,T_dados[DATA],"&gt;="&amp;NOV_I,T_dados[DATA],"&lt;="&amp;NOV_F)</f>
        <v>0</v>
      </c>
      <c r="O18" s="36">
        <f>SUMIFS(T_dados[VALOR],T_dados[CATEGORIA],"Casa",T_dados[SUBCATEGORIA],$B18,T_dados[DATA],"&gt;="&amp;DEZ_I,T_dados[DATA],"&lt;="&amp;DEZ_F)</f>
        <v>0</v>
      </c>
      <c r="Q18" s="142"/>
      <c r="R18" s="145"/>
      <c r="T18" s="139"/>
    </row>
    <row r="19" spans="2:20" x14ac:dyDescent="0.25">
      <c r="B19" s="17" t="s">
        <v>51</v>
      </c>
      <c r="D19" s="36">
        <f>SUMIFS(T_dados[VALOR],T_dados[CATEGORIA],"Casa",T_dados[SUBCATEGORIA],$B19,T_dados[DATA],"&gt;="&amp;JAN_I,T_dados[DATA],"&lt;="&amp;JAN_F)</f>
        <v>0</v>
      </c>
      <c r="E19" s="36">
        <f>SUMIFS(T_dados[VALOR],T_dados[CATEGORIA],"Casa",T_dados[SUBCATEGORIA],$B19,T_dados[DATA],"&gt;="&amp;FEV_I,T_dados[DATA],"&lt;="&amp;FEV_F)</f>
        <v>0</v>
      </c>
      <c r="F19" s="36">
        <f>SUMIFS(T_dados[VALOR],T_dados[CATEGORIA],"Casa",T_dados[SUBCATEGORIA],$B19,T_dados[DATA],"&gt;="&amp;MAR_I,T_dados[DATA],"&lt;="&amp;MAR_F)</f>
        <v>0</v>
      </c>
      <c r="G19" s="36">
        <f>SUMIFS(T_dados[VALOR],T_dados[CATEGORIA],"Casa",T_dados[SUBCATEGORIA],$B19,T_dados[DATA],"&gt;="&amp;ABR_I,T_dados[DATA],"&lt;="&amp;ABR_F)</f>
        <v>0</v>
      </c>
      <c r="H19" s="36">
        <f>SUMIFS(T_dados[VALOR],T_dados[CATEGORIA],"Casa",T_dados[SUBCATEGORIA],$B19,T_dados[DATA],"&gt;="&amp;MAI_I,T_dados[DATA],"&lt;="&amp;MAI_F)</f>
        <v>0</v>
      </c>
      <c r="I19" s="36">
        <f>SUMIFS(T_dados[VALOR],T_dados[CATEGORIA],"Casa",T_dados[SUBCATEGORIA],$B19,T_dados[DATA],"&gt;="&amp;JUN_I,T_dados[DATA],"&lt;="&amp;JUN_F)</f>
        <v>0</v>
      </c>
      <c r="J19" s="36">
        <f>SUMIFS(T_dados[VALOR],T_dados[CATEGORIA],"Casa",T_dados[SUBCATEGORIA],$B19,T_dados[DATA],"&gt;="&amp;JUL_I,T_dados[DATA],"&lt;="&amp;JUL_F)</f>
        <v>0</v>
      </c>
      <c r="K19" s="36">
        <f>SUMIFS(T_dados[VALOR],T_dados[CATEGORIA],"Casa",T_dados[SUBCATEGORIA],$B19,T_dados[DATA],"&gt;="&amp;AGO_I,T_dados[DATA],"&lt;="&amp;AGO_F)</f>
        <v>0</v>
      </c>
      <c r="L19" s="36">
        <f>SUMIFS(T_dados[VALOR],T_dados[CATEGORIA],"Casa",T_dados[SUBCATEGORIA],$B19,T_dados[DATA],"&gt;="&amp;SET_I,T_dados[DATA],"&lt;="&amp;SET_F)</f>
        <v>0</v>
      </c>
      <c r="M19" s="36">
        <f>SUMIFS(T_dados[VALOR],T_dados[CATEGORIA],"Casa",T_dados[SUBCATEGORIA],$B19,T_dados[DATA],"&gt;="&amp;OUT_I,T_dados[DATA],"&lt;="&amp;OUT_F)</f>
        <v>0</v>
      </c>
      <c r="N19" s="36">
        <f>SUMIFS(T_dados[VALOR],T_dados[CATEGORIA],"Casa",T_dados[SUBCATEGORIA],$B19,T_dados[DATA],"&gt;="&amp;NOV_I,T_dados[DATA],"&lt;="&amp;NOV_F)</f>
        <v>0</v>
      </c>
      <c r="O19" s="36">
        <f>SUMIFS(T_dados[VALOR],T_dados[CATEGORIA],"Casa",T_dados[SUBCATEGORIA],$B19,T_dados[DATA],"&gt;="&amp;DEZ_I,T_dados[DATA],"&lt;="&amp;DEZ_F)</f>
        <v>0</v>
      </c>
      <c r="Q19" s="142"/>
      <c r="R19" s="145"/>
      <c r="T19" s="139"/>
    </row>
    <row r="20" spans="2:20" x14ac:dyDescent="0.25">
      <c r="B20" s="17" t="s">
        <v>52</v>
      </c>
      <c r="D20" s="36">
        <f>SUMIFS(T_dados[VALOR],T_dados[CATEGORIA],"Casa",T_dados[SUBCATEGORIA],$B20,T_dados[DATA],"&gt;="&amp;JAN_I,T_dados[DATA],"&lt;="&amp;JAN_F)</f>
        <v>0</v>
      </c>
      <c r="E20" s="36">
        <f>SUMIFS(T_dados[VALOR],T_dados[CATEGORIA],"Casa",T_dados[SUBCATEGORIA],$B20,T_dados[DATA],"&gt;="&amp;FEV_I,T_dados[DATA],"&lt;="&amp;FEV_F)</f>
        <v>0</v>
      </c>
      <c r="F20" s="36">
        <f>SUMIFS(T_dados[VALOR],T_dados[CATEGORIA],"Casa",T_dados[SUBCATEGORIA],$B20,T_dados[DATA],"&gt;="&amp;MAR_I,T_dados[DATA],"&lt;="&amp;MAR_F)</f>
        <v>0</v>
      </c>
      <c r="G20" s="36">
        <f>SUMIFS(T_dados[VALOR],T_dados[CATEGORIA],"Casa",T_dados[SUBCATEGORIA],$B20,T_dados[DATA],"&gt;="&amp;ABR_I,T_dados[DATA],"&lt;="&amp;ABR_F)</f>
        <v>0</v>
      </c>
      <c r="H20" s="36">
        <f>SUMIFS(T_dados[VALOR],T_dados[CATEGORIA],"Casa",T_dados[SUBCATEGORIA],$B20,T_dados[DATA],"&gt;="&amp;MAI_I,T_dados[DATA],"&lt;="&amp;MAI_F)</f>
        <v>0</v>
      </c>
      <c r="I20" s="36">
        <f>SUMIFS(T_dados[VALOR],T_dados[CATEGORIA],"Casa",T_dados[SUBCATEGORIA],$B20,T_dados[DATA],"&gt;="&amp;JUN_I,T_dados[DATA],"&lt;="&amp;JUN_F)</f>
        <v>0</v>
      </c>
      <c r="J20" s="36">
        <f>SUMIFS(T_dados[VALOR],T_dados[CATEGORIA],"Casa",T_dados[SUBCATEGORIA],$B20,T_dados[DATA],"&gt;="&amp;JUL_I,T_dados[DATA],"&lt;="&amp;JUL_F)</f>
        <v>0</v>
      </c>
      <c r="K20" s="36">
        <f>SUMIFS(T_dados[VALOR],T_dados[CATEGORIA],"Casa",T_dados[SUBCATEGORIA],$B20,T_dados[DATA],"&gt;="&amp;AGO_I,T_dados[DATA],"&lt;="&amp;AGO_F)</f>
        <v>0</v>
      </c>
      <c r="L20" s="36">
        <f>SUMIFS(T_dados[VALOR],T_dados[CATEGORIA],"Casa",T_dados[SUBCATEGORIA],$B20,T_dados[DATA],"&gt;="&amp;SET_I,T_dados[DATA],"&lt;="&amp;SET_F)</f>
        <v>0</v>
      </c>
      <c r="M20" s="36">
        <f>SUMIFS(T_dados[VALOR],T_dados[CATEGORIA],"Casa",T_dados[SUBCATEGORIA],$B20,T_dados[DATA],"&gt;="&amp;OUT_I,T_dados[DATA],"&lt;="&amp;OUT_F)</f>
        <v>0</v>
      </c>
      <c r="N20" s="36">
        <f>SUMIFS(T_dados[VALOR],T_dados[CATEGORIA],"Casa",T_dados[SUBCATEGORIA],$B20,T_dados[DATA],"&gt;="&amp;NOV_I,T_dados[DATA],"&lt;="&amp;NOV_F)</f>
        <v>0</v>
      </c>
      <c r="O20" s="36">
        <f>SUMIFS(T_dados[VALOR],T_dados[CATEGORIA],"Casa",T_dados[SUBCATEGORIA],$B20,T_dados[DATA],"&gt;="&amp;DEZ_I,T_dados[DATA],"&lt;="&amp;DEZ_F)</f>
        <v>0</v>
      </c>
      <c r="Q20" s="142"/>
      <c r="R20" s="145"/>
      <c r="T20" s="139"/>
    </row>
    <row r="21" spans="2:20" x14ac:dyDescent="0.25">
      <c r="B21" s="17" t="s">
        <v>53</v>
      </c>
      <c r="D21" s="36">
        <f>SUMIFS(T_dados[VALOR],T_dados[CATEGORIA],"Casa",T_dados[SUBCATEGORIA],$B21,T_dados[DATA],"&gt;="&amp;JAN_I,T_dados[DATA],"&lt;="&amp;JAN_F)</f>
        <v>0</v>
      </c>
      <c r="E21" s="36">
        <f>SUMIFS(T_dados[VALOR],T_dados[CATEGORIA],"Casa",T_dados[SUBCATEGORIA],$B21,T_dados[DATA],"&gt;="&amp;FEV_I,T_dados[DATA],"&lt;="&amp;FEV_F)</f>
        <v>0</v>
      </c>
      <c r="F21" s="36">
        <f>SUMIFS(T_dados[VALOR],T_dados[CATEGORIA],"Casa",T_dados[SUBCATEGORIA],$B21,T_dados[DATA],"&gt;="&amp;MAR_I,T_dados[DATA],"&lt;="&amp;MAR_F)</f>
        <v>0</v>
      </c>
      <c r="G21" s="36">
        <f>SUMIFS(T_dados[VALOR],T_dados[CATEGORIA],"Casa",T_dados[SUBCATEGORIA],$B21,T_dados[DATA],"&gt;="&amp;ABR_I,T_dados[DATA],"&lt;="&amp;ABR_F)</f>
        <v>0</v>
      </c>
      <c r="H21" s="36">
        <f>SUMIFS(T_dados[VALOR],T_dados[CATEGORIA],"Casa",T_dados[SUBCATEGORIA],$B21,T_dados[DATA],"&gt;="&amp;MAI_I,T_dados[DATA],"&lt;="&amp;MAI_F)</f>
        <v>0</v>
      </c>
      <c r="I21" s="36">
        <f>SUMIFS(T_dados[VALOR],T_dados[CATEGORIA],"Casa",T_dados[SUBCATEGORIA],$B21,T_dados[DATA],"&gt;="&amp;JUN_I,T_dados[DATA],"&lt;="&amp;JUN_F)</f>
        <v>0</v>
      </c>
      <c r="J21" s="36">
        <f>SUMIFS(T_dados[VALOR],T_dados[CATEGORIA],"Casa",T_dados[SUBCATEGORIA],$B21,T_dados[DATA],"&gt;="&amp;JUL_I,T_dados[DATA],"&lt;="&amp;JUL_F)</f>
        <v>0</v>
      </c>
      <c r="K21" s="36">
        <f>SUMIFS(T_dados[VALOR],T_dados[CATEGORIA],"Casa",T_dados[SUBCATEGORIA],$B21,T_dados[DATA],"&gt;="&amp;AGO_I,T_dados[DATA],"&lt;="&amp;AGO_F)</f>
        <v>0</v>
      </c>
      <c r="L21" s="36">
        <f>SUMIFS(T_dados[VALOR],T_dados[CATEGORIA],"Casa",T_dados[SUBCATEGORIA],$B21,T_dados[DATA],"&gt;="&amp;SET_I,T_dados[DATA],"&lt;="&amp;SET_F)</f>
        <v>0</v>
      </c>
      <c r="M21" s="36">
        <f>SUMIFS(T_dados[VALOR],T_dados[CATEGORIA],"Casa",T_dados[SUBCATEGORIA],$B21,T_dados[DATA],"&gt;="&amp;OUT_I,T_dados[DATA],"&lt;="&amp;OUT_F)</f>
        <v>0</v>
      </c>
      <c r="N21" s="36">
        <f>SUMIFS(T_dados[VALOR],T_dados[CATEGORIA],"Casa",T_dados[SUBCATEGORIA],$B21,T_dados[DATA],"&gt;="&amp;NOV_I,T_dados[DATA],"&lt;="&amp;NOV_F)</f>
        <v>0</v>
      </c>
      <c r="O21" s="36">
        <f>SUMIFS(T_dados[VALOR],T_dados[CATEGORIA],"Casa",T_dados[SUBCATEGORIA],$B21,T_dados[DATA],"&gt;="&amp;DEZ_I,T_dados[DATA],"&lt;="&amp;DEZ_F)</f>
        <v>0</v>
      </c>
      <c r="Q21" s="142"/>
      <c r="R21" s="145"/>
      <c r="T21" s="139"/>
    </row>
    <row r="22" spans="2:20" x14ac:dyDescent="0.25">
      <c r="B22" s="17" t="s">
        <v>54</v>
      </c>
      <c r="D22" s="36">
        <f>SUMIFS(T_dados[VALOR],T_dados[CATEGORIA],"Casa",T_dados[SUBCATEGORIA],$B22,T_dados[DATA],"&gt;="&amp;JAN_I,T_dados[DATA],"&lt;="&amp;JAN_F)</f>
        <v>0</v>
      </c>
      <c r="E22" s="36">
        <f>SUMIFS(T_dados[VALOR],T_dados[CATEGORIA],"Casa",T_dados[SUBCATEGORIA],$B22,T_dados[DATA],"&gt;="&amp;FEV_I,T_dados[DATA],"&lt;="&amp;FEV_F)</f>
        <v>0</v>
      </c>
      <c r="F22" s="36">
        <f>SUMIFS(T_dados[VALOR],T_dados[CATEGORIA],"Casa",T_dados[SUBCATEGORIA],$B22,T_dados[DATA],"&gt;="&amp;MAR_I,T_dados[DATA],"&lt;="&amp;MAR_F)</f>
        <v>0</v>
      </c>
      <c r="G22" s="36">
        <f>SUMIFS(T_dados[VALOR],T_dados[CATEGORIA],"Casa",T_dados[SUBCATEGORIA],$B22,T_dados[DATA],"&gt;="&amp;ABR_I,T_dados[DATA],"&lt;="&amp;ABR_F)</f>
        <v>0</v>
      </c>
      <c r="H22" s="36">
        <f>SUMIFS(T_dados[VALOR],T_dados[CATEGORIA],"Casa",T_dados[SUBCATEGORIA],$B22,T_dados[DATA],"&gt;="&amp;MAI_I,T_dados[DATA],"&lt;="&amp;MAI_F)</f>
        <v>0</v>
      </c>
      <c r="I22" s="36">
        <f>SUMIFS(T_dados[VALOR],T_dados[CATEGORIA],"Casa",T_dados[SUBCATEGORIA],$B22,T_dados[DATA],"&gt;="&amp;JUN_I,T_dados[DATA],"&lt;="&amp;JUN_F)</f>
        <v>0</v>
      </c>
      <c r="J22" s="36">
        <f>SUMIFS(T_dados[VALOR],T_dados[CATEGORIA],"Casa",T_dados[SUBCATEGORIA],$B22,T_dados[DATA],"&gt;="&amp;JUL_I,T_dados[DATA],"&lt;="&amp;JUL_F)</f>
        <v>0</v>
      </c>
      <c r="K22" s="36">
        <f>SUMIFS(T_dados[VALOR],T_dados[CATEGORIA],"Casa",T_dados[SUBCATEGORIA],$B22,T_dados[DATA],"&gt;="&amp;AGO_I,T_dados[DATA],"&lt;="&amp;AGO_F)</f>
        <v>0</v>
      </c>
      <c r="L22" s="36">
        <f>SUMIFS(T_dados[VALOR],T_dados[CATEGORIA],"Casa",T_dados[SUBCATEGORIA],$B22,T_dados[DATA],"&gt;="&amp;SET_I,T_dados[DATA],"&lt;="&amp;SET_F)</f>
        <v>0</v>
      </c>
      <c r="M22" s="36">
        <f>SUMIFS(T_dados[VALOR],T_dados[CATEGORIA],"Casa",T_dados[SUBCATEGORIA],$B22,T_dados[DATA],"&gt;="&amp;OUT_I,T_dados[DATA],"&lt;="&amp;OUT_F)</f>
        <v>0</v>
      </c>
      <c r="N22" s="36">
        <f>SUMIFS(T_dados[VALOR],T_dados[CATEGORIA],"Casa",T_dados[SUBCATEGORIA],$B22,T_dados[DATA],"&gt;="&amp;NOV_I,T_dados[DATA],"&lt;="&amp;NOV_F)</f>
        <v>0</v>
      </c>
      <c r="O22" s="36">
        <f>SUMIFS(T_dados[VALOR],T_dados[CATEGORIA],"Casa",T_dados[SUBCATEGORIA],$B22,T_dados[DATA],"&gt;="&amp;DEZ_I,T_dados[DATA],"&lt;="&amp;DEZ_F)</f>
        <v>0</v>
      </c>
      <c r="Q22" s="142"/>
      <c r="R22" s="145"/>
      <c r="T22" s="139"/>
    </row>
    <row r="23" spans="2:20" x14ac:dyDescent="0.25">
      <c r="B23" s="15" t="s">
        <v>20</v>
      </c>
      <c r="D23" s="36">
        <f>SUMIFS(T_dados[VALOR],T_dados[CATEGORIA],"Casa",T_dados[SUBCATEGORIA],$B23,T_dados[DATA],"&gt;="&amp;JAN_I,T_dados[DATA],"&lt;="&amp;JAN_F)</f>
        <v>0</v>
      </c>
      <c r="E23" s="36">
        <f>SUMIFS(T_dados[VALOR],T_dados[CATEGORIA],"Casa",T_dados[SUBCATEGORIA],$B23,T_dados[DATA],"&gt;="&amp;FEV_I,T_dados[DATA],"&lt;="&amp;FEV_F)</f>
        <v>0</v>
      </c>
      <c r="F23" s="36">
        <f>SUMIFS(T_dados[VALOR],T_dados[CATEGORIA],"Casa",T_dados[SUBCATEGORIA],$B23,T_dados[DATA],"&gt;="&amp;MAR_I,T_dados[DATA],"&lt;="&amp;MAR_F)</f>
        <v>0</v>
      </c>
      <c r="G23" s="36">
        <f>SUMIFS(T_dados[VALOR],T_dados[CATEGORIA],"Casa",T_dados[SUBCATEGORIA],$B23,T_dados[DATA],"&gt;="&amp;ABR_I,T_dados[DATA],"&lt;="&amp;ABR_F)</f>
        <v>0</v>
      </c>
      <c r="H23" s="36">
        <f>SUMIFS(T_dados[VALOR],T_dados[CATEGORIA],"Casa",T_dados[SUBCATEGORIA],$B23,T_dados[DATA],"&gt;="&amp;MAI_I,T_dados[DATA],"&lt;="&amp;MAI_F)</f>
        <v>0</v>
      </c>
      <c r="I23" s="36">
        <f>SUMIFS(T_dados[VALOR],T_dados[CATEGORIA],"Casa",T_dados[SUBCATEGORIA],$B23,T_dados[DATA],"&gt;="&amp;JUN_I,T_dados[DATA],"&lt;="&amp;JUN_F)</f>
        <v>0</v>
      </c>
      <c r="J23" s="36">
        <f>SUMIFS(T_dados[VALOR],T_dados[CATEGORIA],"Casa",T_dados[SUBCATEGORIA],$B23,T_dados[DATA],"&gt;="&amp;JUL_I,T_dados[DATA],"&lt;="&amp;JUL_F)</f>
        <v>0</v>
      </c>
      <c r="K23" s="36">
        <f>SUMIFS(T_dados[VALOR],T_dados[CATEGORIA],"Casa",T_dados[SUBCATEGORIA],$B23,T_dados[DATA],"&gt;="&amp;AGO_I,T_dados[DATA],"&lt;="&amp;AGO_F)</f>
        <v>0</v>
      </c>
      <c r="L23" s="36">
        <f>SUMIFS(T_dados[VALOR],T_dados[CATEGORIA],"Casa",T_dados[SUBCATEGORIA],$B23,T_dados[DATA],"&gt;="&amp;SET_I,T_dados[DATA],"&lt;="&amp;SET_F)</f>
        <v>0</v>
      </c>
      <c r="M23" s="36">
        <f>SUMIFS(T_dados[VALOR],T_dados[CATEGORIA],"Casa",T_dados[SUBCATEGORIA],$B23,T_dados[DATA],"&gt;="&amp;OUT_I,T_dados[DATA],"&lt;="&amp;OUT_F)</f>
        <v>0</v>
      </c>
      <c r="N23" s="36">
        <f>SUMIFS(T_dados[VALOR],T_dados[CATEGORIA],"Casa",T_dados[SUBCATEGORIA],$B23,T_dados[DATA],"&gt;="&amp;NOV_I,T_dados[DATA],"&lt;="&amp;NOV_F)</f>
        <v>0</v>
      </c>
      <c r="O23" s="36">
        <f>SUMIFS(T_dados[VALOR],T_dados[CATEGORIA],"Casa",T_dados[SUBCATEGORIA],$B23,T_dados[DATA],"&gt;="&amp;DEZ_I,T_dados[DATA],"&lt;="&amp;DEZ_F)</f>
        <v>0</v>
      </c>
      <c r="Q23" s="143"/>
      <c r="R23" s="146"/>
      <c r="T23" s="139"/>
    </row>
    <row r="24" spans="2:20" x14ac:dyDescent="0.25">
      <c r="B24" s="19" t="s">
        <v>55</v>
      </c>
      <c r="T24" s="139"/>
    </row>
    <row r="25" spans="2:20" x14ac:dyDescent="0.25">
      <c r="B25" s="16" t="s">
        <v>56</v>
      </c>
      <c r="D25" s="36">
        <f>SUMIFS(T_dados[VALOR],T_dados[CATEGORIA],"Alimentação",T_dados[SUBCATEGORIA],$B25,T_dados[DATA],"&gt;="&amp;JAN_I,T_dados[DATA],"&lt;="&amp;JAN_F)</f>
        <v>0</v>
      </c>
      <c r="E25" s="36">
        <f>SUMIFS(T_dados[VALOR],T_dados[CATEGORIA],"Alimentação",T_dados[SUBCATEGORIA],$B25,T_dados[DATA],"&gt;="&amp;FEV_I,T_dados[DATA],"&lt;="&amp;FEV_F)</f>
        <v>0</v>
      </c>
      <c r="F25" s="36">
        <f>SUMIFS(T_dados[VALOR],T_dados[CATEGORIA],"Alimentação",T_dados[SUBCATEGORIA],$B25,T_dados[DATA],"&gt;="&amp;MAR_I,T_dados[DATA],"&lt;="&amp;MAR_F)</f>
        <v>0</v>
      </c>
      <c r="G25" s="36">
        <f>SUMIFS(T_dados[VALOR],T_dados[CATEGORIA],"Alimentação",T_dados[SUBCATEGORIA],$B25,T_dados[DATA],"&gt;="&amp;ABR_I,T_dados[DATA],"&lt;="&amp;ABR_F)</f>
        <v>0</v>
      </c>
      <c r="H25" s="36">
        <f>SUMIFS(T_dados[VALOR],T_dados[CATEGORIA],"Alimentação",T_dados[SUBCATEGORIA],$B25,T_dados[DATA],"&gt;="&amp;MAI_I,T_dados[DATA],"&lt;="&amp;MAI_F)</f>
        <v>0</v>
      </c>
      <c r="I25" s="36">
        <f>SUMIFS(T_dados[VALOR],T_dados[CATEGORIA],"Alimentação",T_dados[SUBCATEGORIA],$B25,T_dados[DATA],"&gt;="&amp;JUN_I,T_dados[DATA],"&lt;="&amp;JUN_F)</f>
        <v>0</v>
      </c>
      <c r="J25" s="36">
        <f>SUMIFS(T_dados[VALOR],T_dados[CATEGORIA],"Alimentação",T_dados[SUBCATEGORIA],$B25,T_dados[DATA],"&gt;="&amp;JUL_I,T_dados[DATA],"&lt;="&amp;JUL_F)</f>
        <v>0</v>
      </c>
      <c r="K25" s="36">
        <f>SUMIFS(T_dados[VALOR],T_dados[CATEGORIA],"Alimentação",T_dados[SUBCATEGORIA],$B25,T_dados[DATA],"&gt;="&amp;AGO_I,T_dados[DATA],"&lt;="&amp;AGO_F)</f>
        <v>0</v>
      </c>
      <c r="L25" s="36">
        <f>SUMIFS(T_dados[VALOR],T_dados[CATEGORIA],"Alimentação",T_dados[SUBCATEGORIA],$B25,T_dados[DATA],"&gt;="&amp;SET_I,T_dados[DATA],"&lt;="&amp;SET_F)</f>
        <v>0</v>
      </c>
      <c r="M25" s="36">
        <f>SUMIFS(T_dados[VALOR],T_dados[CATEGORIA],"Alimentação",T_dados[SUBCATEGORIA],$B25,T_dados[DATA],"&gt;="&amp;OUT_I,T_dados[DATA],"&lt;="&amp;OUT_F)</f>
        <v>0</v>
      </c>
      <c r="N25" s="36">
        <f>SUMIFS(T_dados[VALOR],T_dados[CATEGORIA],"Alimentação",T_dados[SUBCATEGORIA],$B25,T_dados[DATA],"&gt;="&amp;NOV_I,T_dados[DATA],"&lt;="&amp;NOV_F)</f>
        <v>0</v>
      </c>
      <c r="O25" s="36">
        <f>SUMIFS(T_dados[VALOR],T_dados[CATEGORIA],"Alimentação",T_dados[SUBCATEGORIA],$B25,T_dados[DATA],"&gt;="&amp;DEZ_I,T_dados[DATA],"&lt;="&amp;DEZ_F)</f>
        <v>0</v>
      </c>
      <c r="Q25" s="141">
        <f>Orçamento!B40*12</f>
        <v>0</v>
      </c>
      <c r="R25" s="144">
        <f>SUM(D25:O27)</f>
        <v>0</v>
      </c>
      <c r="T25" s="139"/>
    </row>
    <row r="26" spans="2:20" x14ac:dyDescent="0.25">
      <c r="B26" s="17" t="s">
        <v>57</v>
      </c>
      <c r="D26" s="36">
        <f>SUMIFS(T_dados[VALOR],T_dados[CATEGORIA],"Alimentação",T_dados[SUBCATEGORIA],$B26,T_dados[DATA],"&gt;="&amp;JAN_I,T_dados[DATA],"&lt;="&amp;JAN_F)</f>
        <v>0</v>
      </c>
      <c r="E26" s="36">
        <f>SUMIFS(T_dados[VALOR],T_dados[CATEGORIA],"Alimentação",T_dados[SUBCATEGORIA],$B26,T_dados[DATA],"&gt;="&amp;FEV_I,T_dados[DATA],"&lt;="&amp;FEV_F)</f>
        <v>0</v>
      </c>
      <c r="F26" s="36">
        <f>SUMIFS(T_dados[VALOR],T_dados[CATEGORIA],"Alimentação",T_dados[SUBCATEGORIA],$B26,T_dados[DATA],"&gt;="&amp;MAR_I,T_dados[DATA],"&lt;="&amp;MAR_F)</f>
        <v>0</v>
      </c>
      <c r="G26" s="36">
        <f>SUMIFS(T_dados[VALOR],T_dados[CATEGORIA],"Alimentação",T_dados[SUBCATEGORIA],$B26,T_dados[DATA],"&gt;="&amp;ABR_I,T_dados[DATA],"&lt;="&amp;ABR_F)</f>
        <v>0</v>
      </c>
      <c r="H26" s="36">
        <f>SUMIFS(T_dados[VALOR],T_dados[CATEGORIA],"Alimentação",T_dados[SUBCATEGORIA],$B26,T_dados[DATA],"&gt;="&amp;MAI_I,T_dados[DATA],"&lt;="&amp;MAI_F)</f>
        <v>0</v>
      </c>
      <c r="I26" s="36">
        <f>SUMIFS(T_dados[VALOR],T_dados[CATEGORIA],"Alimentação",T_dados[SUBCATEGORIA],$B26,T_dados[DATA],"&gt;="&amp;JUN_I,T_dados[DATA],"&lt;="&amp;JUN_F)</f>
        <v>0</v>
      </c>
      <c r="J26" s="36">
        <f>SUMIFS(T_dados[VALOR],T_dados[CATEGORIA],"Alimentação",T_dados[SUBCATEGORIA],$B26,T_dados[DATA],"&gt;="&amp;JUL_I,T_dados[DATA],"&lt;="&amp;JUL_F)</f>
        <v>0</v>
      </c>
      <c r="K26" s="36">
        <f>SUMIFS(T_dados[VALOR],T_dados[CATEGORIA],"Alimentação",T_dados[SUBCATEGORIA],$B26,T_dados[DATA],"&gt;="&amp;AGO_I,T_dados[DATA],"&lt;="&amp;AGO_F)</f>
        <v>0</v>
      </c>
      <c r="L26" s="36">
        <f>SUMIFS(T_dados[VALOR],T_dados[CATEGORIA],"Alimentação",T_dados[SUBCATEGORIA],$B26,T_dados[DATA],"&gt;="&amp;SET_I,T_dados[DATA],"&lt;="&amp;SET_F)</f>
        <v>0</v>
      </c>
      <c r="M26" s="36">
        <f>SUMIFS(T_dados[VALOR],T_dados[CATEGORIA],"Alimentação",T_dados[SUBCATEGORIA],$B26,T_dados[DATA],"&gt;="&amp;OUT_I,T_dados[DATA],"&lt;="&amp;OUT_F)</f>
        <v>0</v>
      </c>
      <c r="N26" s="36">
        <f>SUMIFS(T_dados[VALOR],T_dados[CATEGORIA],"Alimentação",T_dados[SUBCATEGORIA],$B26,T_dados[DATA],"&gt;="&amp;NOV_I,T_dados[DATA],"&lt;="&amp;NOV_F)</f>
        <v>0</v>
      </c>
      <c r="O26" s="36">
        <f>SUMIFS(T_dados[VALOR],T_dados[CATEGORIA],"Alimentação",T_dados[SUBCATEGORIA],$B26,T_dados[DATA],"&gt;="&amp;DEZ_I,T_dados[DATA],"&lt;="&amp;DEZ_F)</f>
        <v>0</v>
      </c>
      <c r="Q26" s="142"/>
      <c r="R26" s="145"/>
      <c r="T26" s="139"/>
    </row>
    <row r="27" spans="2:20" x14ac:dyDescent="0.25">
      <c r="B27" s="15" t="s">
        <v>20</v>
      </c>
      <c r="D27" s="36">
        <f>SUMIFS(T_dados[VALOR],T_dados[CATEGORIA],"Alimentação",T_dados[SUBCATEGORIA],$B27,T_dados[DATA],"&gt;="&amp;JAN_I,T_dados[DATA],"&lt;="&amp;JAN_F)</f>
        <v>0</v>
      </c>
      <c r="E27" s="36">
        <f>SUMIFS(T_dados[VALOR],T_dados[CATEGORIA],"Alimentação",T_dados[SUBCATEGORIA],$B27,T_dados[DATA],"&gt;="&amp;FEV_I,T_dados[DATA],"&lt;="&amp;FEV_F)</f>
        <v>0</v>
      </c>
      <c r="F27" s="36">
        <f>SUMIFS(T_dados[VALOR],T_dados[CATEGORIA],"Alimentação",T_dados[SUBCATEGORIA],$B27,T_dados[DATA],"&gt;="&amp;MAR_I,T_dados[DATA],"&lt;="&amp;MAR_F)</f>
        <v>0</v>
      </c>
      <c r="G27" s="36">
        <f>SUMIFS(T_dados[VALOR],T_dados[CATEGORIA],"Alimentação",T_dados[SUBCATEGORIA],$B27,T_dados[DATA],"&gt;="&amp;ABR_I,T_dados[DATA],"&lt;="&amp;ABR_F)</f>
        <v>0</v>
      </c>
      <c r="H27" s="36">
        <f>SUMIFS(T_dados[VALOR],T_dados[CATEGORIA],"Alimentação",T_dados[SUBCATEGORIA],$B27,T_dados[DATA],"&gt;="&amp;MAI_I,T_dados[DATA],"&lt;="&amp;MAI_F)</f>
        <v>0</v>
      </c>
      <c r="I27" s="36">
        <f>SUMIFS(T_dados[VALOR],T_dados[CATEGORIA],"Alimentação",T_dados[SUBCATEGORIA],$B27,T_dados[DATA],"&gt;="&amp;JUN_I,T_dados[DATA],"&lt;="&amp;JUN_F)</f>
        <v>0</v>
      </c>
      <c r="J27" s="36">
        <f>SUMIFS(T_dados[VALOR],T_dados[CATEGORIA],"Alimentação",T_dados[SUBCATEGORIA],$B27,T_dados[DATA],"&gt;="&amp;JUL_I,T_dados[DATA],"&lt;="&amp;JUL_F)</f>
        <v>0</v>
      </c>
      <c r="K27" s="36">
        <f>SUMIFS(T_dados[VALOR],T_dados[CATEGORIA],"Alimentação",T_dados[SUBCATEGORIA],$B27,T_dados[DATA],"&gt;="&amp;AGO_I,T_dados[DATA],"&lt;="&amp;AGO_F)</f>
        <v>0</v>
      </c>
      <c r="L27" s="36">
        <f>SUMIFS(T_dados[VALOR],T_dados[CATEGORIA],"Alimentação",T_dados[SUBCATEGORIA],$B27,T_dados[DATA],"&gt;="&amp;SET_I,T_dados[DATA],"&lt;="&amp;SET_F)</f>
        <v>0</v>
      </c>
      <c r="M27" s="36">
        <f>SUMIFS(T_dados[VALOR],T_dados[CATEGORIA],"Alimentação",T_dados[SUBCATEGORIA],$B27,T_dados[DATA],"&gt;="&amp;OUT_I,T_dados[DATA],"&lt;="&amp;OUT_F)</f>
        <v>0</v>
      </c>
      <c r="N27" s="36">
        <f>SUMIFS(T_dados[VALOR],T_dados[CATEGORIA],"Alimentação",T_dados[SUBCATEGORIA],$B27,T_dados[DATA],"&gt;="&amp;NOV_I,T_dados[DATA],"&lt;="&amp;NOV_F)</f>
        <v>0</v>
      </c>
      <c r="O27" s="36">
        <f>SUMIFS(T_dados[VALOR],T_dados[CATEGORIA],"Alimentação",T_dados[SUBCATEGORIA],$B27,T_dados[DATA],"&gt;="&amp;DEZ_I,T_dados[DATA],"&lt;="&amp;DEZ_F)</f>
        <v>0</v>
      </c>
      <c r="Q27" s="143"/>
      <c r="R27" s="146"/>
      <c r="T27" s="139"/>
    </row>
    <row r="28" spans="2:20" x14ac:dyDescent="0.25">
      <c r="B28" s="19" t="s">
        <v>58</v>
      </c>
      <c r="T28" s="139"/>
    </row>
    <row r="29" spans="2:20" x14ac:dyDescent="0.25">
      <c r="B29" s="16" t="s">
        <v>80</v>
      </c>
      <c r="D29" s="36">
        <f>SUMIFS(T_dados[VALOR],T_dados[CATEGORIA],"Transporte",T_dados[SUBCATEGORIA],$B29,T_dados[DATA],"&gt;="&amp;JAN_I,T_dados[DATA],"&lt;="&amp;JAN_F)</f>
        <v>0</v>
      </c>
      <c r="E29" s="36">
        <f>SUMIFS(T_dados[VALOR],T_dados[CATEGORIA],"Transporte",T_dados[SUBCATEGORIA],$B29,T_dados[DATA],"&gt;="&amp;FEV_I,T_dados[DATA],"&lt;="&amp;FEV_F)</f>
        <v>0</v>
      </c>
      <c r="F29" s="36">
        <f>SUMIFS(T_dados[VALOR],T_dados[CATEGORIA],"Transporte",T_dados[SUBCATEGORIA],$B29,T_dados[DATA],"&gt;="&amp;MAR_I,T_dados[DATA],"&lt;="&amp;MAR_F)</f>
        <v>0</v>
      </c>
      <c r="G29" s="36">
        <f>SUMIFS(T_dados[VALOR],T_dados[CATEGORIA],"Transporte",T_dados[SUBCATEGORIA],$B29,T_dados[DATA],"&gt;="&amp;ABR_I,T_dados[DATA],"&lt;="&amp;ABR_F)</f>
        <v>0</v>
      </c>
      <c r="H29" s="36">
        <f>SUMIFS(T_dados[VALOR],T_dados[CATEGORIA],"Transporte",T_dados[SUBCATEGORIA],$B29,T_dados[DATA],"&gt;="&amp;MAI_I,T_dados[DATA],"&lt;="&amp;MAI_F)</f>
        <v>0</v>
      </c>
      <c r="I29" s="36">
        <f>SUMIFS(T_dados[VALOR],T_dados[CATEGORIA],"Transporte",T_dados[SUBCATEGORIA],$B29,T_dados[DATA],"&gt;="&amp;JUN_I,T_dados[DATA],"&lt;="&amp;JUN_F)</f>
        <v>0</v>
      </c>
      <c r="J29" s="36">
        <f>SUMIFS(T_dados[VALOR],T_dados[CATEGORIA],"Transporte",T_dados[SUBCATEGORIA],$B29,T_dados[DATA],"&gt;="&amp;JUL_I,T_dados[DATA],"&lt;="&amp;JUL_F)</f>
        <v>0</v>
      </c>
      <c r="K29" s="36">
        <f>SUMIFS(T_dados[VALOR],T_dados[CATEGORIA],"Transporte",T_dados[SUBCATEGORIA],$B29,T_dados[DATA],"&gt;="&amp;AGO_I,T_dados[DATA],"&lt;="&amp;AGO_F)</f>
        <v>0</v>
      </c>
      <c r="L29" s="36">
        <f>SUMIFS(T_dados[VALOR],T_dados[CATEGORIA],"Transporte",T_dados[SUBCATEGORIA],$B29,T_dados[DATA],"&gt;="&amp;SET_I,T_dados[DATA],"&lt;="&amp;SET_F)</f>
        <v>0</v>
      </c>
      <c r="M29" s="36">
        <f>SUMIFS(T_dados[VALOR],T_dados[CATEGORIA],"Transporte",T_dados[SUBCATEGORIA],$B29,T_dados[DATA],"&gt;="&amp;OUT_I,T_dados[DATA],"&lt;="&amp;OUT_F)</f>
        <v>0</v>
      </c>
      <c r="N29" s="36">
        <f>SUMIFS(T_dados[VALOR],T_dados[CATEGORIA],"Transporte",T_dados[SUBCATEGORIA],$B29,T_dados[DATA],"&gt;="&amp;NOV_I,T_dados[DATA],"&lt;="&amp;NOV_F)</f>
        <v>0</v>
      </c>
      <c r="O29" s="36">
        <f>SUMIFS(T_dados[VALOR],T_dados[CATEGORIA],"Transporte",T_dados[SUBCATEGORIA],$B29,T_dados[DATA],"&gt;="&amp;DEZ_I,T_dados[DATA],"&lt;="&amp;DEZ_F)</f>
        <v>0</v>
      </c>
      <c r="Q29" s="141">
        <f>Orçamento!B41*12</f>
        <v>0</v>
      </c>
      <c r="R29" s="144">
        <f>SUM(D29:O33)</f>
        <v>0</v>
      </c>
      <c r="T29" s="139"/>
    </row>
    <row r="30" spans="2:20" x14ac:dyDescent="0.25">
      <c r="B30" s="17" t="s">
        <v>81</v>
      </c>
      <c r="D30" s="36">
        <f>SUMIFS(T_dados[VALOR],T_dados[CATEGORIA],"Transporte",T_dados[SUBCATEGORIA],$B30,T_dados[DATA],"&gt;="&amp;JAN_I,T_dados[DATA],"&lt;="&amp;JAN_F)</f>
        <v>0</v>
      </c>
      <c r="E30" s="36">
        <f>SUMIFS(T_dados[VALOR],T_dados[CATEGORIA],"Transporte",T_dados[SUBCATEGORIA],$B30,T_dados[DATA],"&gt;="&amp;FEV_I,T_dados[DATA],"&lt;="&amp;FEV_F)</f>
        <v>0</v>
      </c>
      <c r="F30" s="36">
        <f>SUMIFS(T_dados[VALOR],T_dados[CATEGORIA],"Transporte",T_dados[SUBCATEGORIA],$B30,T_dados[DATA],"&gt;="&amp;MAR_I,T_dados[DATA],"&lt;="&amp;MAR_F)</f>
        <v>0</v>
      </c>
      <c r="G30" s="36">
        <f>SUMIFS(T_dados[VALOR],T_dados[CATEGORIA],"Transporte",T_dados[SUBCATEGORIA],$B30,T_dados[DATA],"&gt;="&amp;ABR_I,T_dados[DATA],"&lt;="&amp;ABR_F)</f>
        <v>0</v>
      </c>
      <c r="H30" s="36">
        <f>SUMIFS(T_dados[VALOR],T_dados[CATEGORIA],"Transporte",T_dados[SUBCATEGORIA],$B30,T_dados[DATA],"&gt;="&amp;MAI_I,T_dados[DATA],"&lt;="&amp;MAI_F)</f>
        <v>0</v>
      </c>
      <c r="I30" s="36">
        <f>SUMIFS(T_dados[VALOR],T_dados[CATEGORIA],"Transporte",T_dados[SUBCATEGORIA],$B30,T_dados[DATA],"&gt;="&amp;JUN_I,T_dados[DATA],"&lt;="&amp;JUN_F)</f>
        <v>0</v>
      </c>
      <c r="J30" s="36">
        <f>SUMIFS(T_dados[VALOR],T_dados[CATEGORIA],"Transporte",T_dados[SUBCATEGORIA],$B30,T_dados[DATA],"&gt;="&amp;JUL_I,T_dados[DATA],"&lt;="&amp;JUL_F)</f>
        <v>0</v>
      </c>
      <c r="K30" s="36">
        <f>SUMIFS(T_dados[VALOR],T_dados[CATEGORIA],"Transporte",T_dados[SUBCATEGORIA],$B30,T_dados[DATA],"&gt;="&amp;AGO_I,T_dados[DATA],"&lt;="&amp;AGO_F)</f>
        <v>0</v>
      </c>
      <c r="L30" s="36">
        <f>SUMIFS(T_dados[VALOR],T_dados[CATEGORIA],"Transporte",T_dados[SUBCATEGORIA],$B30,T_dados[DATA],"&gt;="&amp;SET_I,T_dados[DATA],"&lt;="&amp;SET_F)</f>
        <v>0</v>
      </c>
      <c r="M30" s="36">
        <f>SUMIFS(T_dados[VALOR],T_dados[CATEGORIA],"Transporte",T_dados[SUBCATEGORIA],$B30,T_dados[DATA],"&gt;="&amp;OUT_I,T_dados[DATA],"&lt;="&amp;OUT_F)</f>
        <v>0</v>
      </c>
      <c r="N30" s="36">
        <f>SUMIFS(T_dados[VALOR],T_dados[CATEGORIA],"Transporte",T_dados[SUBCATEGORIA],$B30,T_dados[DATA],"&gt;="&amp;NOV_I,T_dados[DATA],"&lt;="&amp;NOV_F)</f>
        <v>0</v>
      </c>
      <c r="O30" s="36">
        <f>SUMIFS(T_dados[VALOR],T_dados[CATEGORIA],"Transporte",T_dados[SUBCATEGORIA],$B30,T_dados[DATA],"&gt;="&amp;DEZ_I,T_dados[DATA],"&lt;="&amp;DEZ_F)</f>
        <v>0</v>
      </c>
      <c r="Q30" s="142"/>
      <c r="R30" s="145"/>
      <c r="T30" s="139"/>
    </row>
    <row r="31" spans="2:20" x14ac:dyDescent="0.25">
      <c r="B31" s="15" t="s">
        <v>118</v>
      </c>
      <c r="D31" s="36">
        <f>SUMIFS(T_dados[VALOR],T_dados[CATEGORIA],"Transporte",T_dados[SUBCATEGORIA],$B31,T_dados[DATA],"&gt;="&amp;JAN_I,T_dados[DATA],"&lt;="&amp;JAN_F)</f>
        <v>0</v>
      </c>
      <c r="E31" s="36">
        <f>SUMIFS(T_dados[VALOR],T_dados[CATEGORIA],"Transporte",T_dados[SUBCATEGORIA],$B31,T_dados[DATA],"&gt;="&amp;FEV_I,T_dados[DATA],"&lt;="&amp;FEV_F)</f>
        <v>0</v>
      </c>
      <c r="F31" s="36">
        <f>SUMIFS(T_dados[VALOR],T_dados[CATEGORIA],"Transporte",T_dados[SUBCATEGORIA],$B31,T_dados[DATA],"&gt;="&amp;MAR_I,T_dados[DATA],"&lt;="&amp;MAR_F)</f>
        <v>0</v>
      </c>
      <c r="G31" s="36">
        <f>SUMIFS(T_dados[VALOR],T_dados[CATEGORIA],"Transporte",T_dados[SUBCATEGORIA],$B31,T_dados[DATA],"&gt;="&amp;ABR_I,T_dados[DATA],"&lt;="&amp;ABR_F)</f>
        <v>0</v>
      </c>
      <c r="H31" s="36">
        <f>SUMIFS(T_dados[VALOR],T_dados[CATEGORIA],"Transporte",T_dados[SUBCATEGORIA],$B31,T_dados[DATA],"&gt;="&amp;MAI_I,T_dados[DATA],"&lt;="&amp;MAI_F)</f>
        <v>0</v>
      </c>
      <c r="I31" s="36">
        <f>SUMIFS(T_dados[VALOR],T_dados[CATEGORIA],"Transporte",T_dados[SUBCATEGORIA],$B31,T_dados[DATA],"&gt;="&amp;JUN_I,T_dados[DATA],"&lt;="&amp;JUN_F)</f>
        <v>0</v>
      </c>
      <c r="J31" s="36">
        <f>SUMIFS(T_dados[VALOR],T_dados[CATEGORIA],"Transporte",T_dados[SUBCATEGORIA],$B31,T_dados[DATA],"&gt;="&amp;JUL_I,T_dados[DATA],"&lt;="&amp;JUL_F)</f>
        <v>0</v>
      </c>
      <c r="K31" s="36">
        <f>SUMIFS(T_dados[VALOR],T_dados[CATEGORIA],"Transporte",T_dados[SUBCATEGORIA],$B31,T_dados[DATA],"&gt;="&amp;AGO_I,T_dados[DATA],"&lt;="&amp;AGO_F)</f>
        <v>0</v>
      </c>
      <c r="L31" s="36">
        <f>SUMIFS(T_dados[VALOR],T_dados[CATEGORIA],"Transporte",T_dados[SUBCATEGORIA],$B31,T_dados[DATA],"&gt;="&amp;SET_I,T_dados[DATA],"&lt;="&amp;SET_F)</f>
        <v>0</v>
      </c>
      <c r="M31" s="36">
        <f>SUMIFS(T_dados[VALOR],T_dados[CATEGORIA],"Transporte",T_dados[SUBCATEGORIA],$B31,T_dados[DATA],"&gt;="&amp;OUT_I,T_dados[DATA],"&lt;="&amp;OUT_F)</f>
        <v>0</v>
      </c>
      <c r="N31" s="36">
        <f>SUMIFS(T_dados[VALOR],T_dados[CATEGORIA],"Transporte",T_dados[SUBCATEGORIA],$B31,T_dados[DATA],"&gt;="&amp;NOV_I,T_dados[DATA],"&lt;="&amp;NOV_F)</f>
        <v>0</v>
      </c>
      <c r="O31" s="36">
        <f>SUMIFS(T_dados[VALOR],T_dados[CATEGORIA],"Transporte",T_dados[SUBCATEGORIA],$B31,T_dados[DATA],"&gt;="&amp;DEZ_I,T_dados[DATA],"&lt;="&amp;DEZ_F)</f>
        <v>0</v>
      </c>
      <c r="Q31" s="143"/>
      <c r="R31" s="146"/>
      <c r="T31" s="139"/>
    </row>
    <row r="32" spans="2:20" x14ac:dyDescent="0.25">
      <c r="B32" s="15" t="s">
        <v>119</v>
      </c>
      <c r="D32" s="36">
        <f>SUMIFS(T_dados[VALOR],T_dados[CATEGORIA],"Transporte",T_dados[SUBCATEGORIA],$B32,T_dados[DATA],"&gt;="&amp;JAN_I,T_dados[DATA],"&lt;="&amp;JAN_F)</f>
        <v>0</v>
      </c>
      <c r="E32" s="36">
        <f>SUMIFS(T_dados[VALOR],T_dados[CATEGORIA],"Transporte",T_dados[SUBCATEGORIA],$B32,T_dados[DATA],"&gt;="&amp;FEV_I,T_dados[DATA],"&lt;="&amp;FEV_F)</f>
        <v>0</v>
      </c>
      <c r="F32" s="36">
        <f>SUMIFS(T_dados[VALOR],T_dados[CATEGORIA],"Transporte",T_dados[SUBCATEGORIA],$B32,T_dados[DATA],"&gt;="&amp;MAR_I,T_dados[DATA],"&lt;="&amp;MAR_F)</f>
        <v>0</v>
      </c>
      <c r="G32" s="36">
        <f>SUMIFS(T_dados[VALOR],T_dados[CATEGORIA],"Transporte",T_dados[SUBCATEGORIA],$B32,T_dados[DATA],"&gt;="&amp;ABR_I,T_dados[DATA],"&lt;="&amp;ABR_F)</f>
        <v>0</v>
      </c>
      <c r="H32" s="36">
        <f>SUMIFS(T_dados[VALOR],T_dados[CATEGORIA],"Transporte",T_dados[SUBCATEGORIA],$B32,T_dados[DATA],"&gt;="&amp;MAI_I,T_dados[DATA],"&lt;="&amp;MAI_F)</f>
        <v>0</v>
      </c>
      <c r="I32" s="36">
        <f>SUMIFS(T_dados[VALOR],T_dados[CATEGORIA],"Transporte",T_dados[SUBCATEGORIA],$B32,T_dados[DATA],"&gt;="&amp;JUN_I,T_dados[DATA],"&lt;="&amp;JUN_F)</f>
        <v>0</v>
      </c>
      <c r="J32" s="36">
        <f>SUMIFS(T_dados[VALOR],T_dados[CATEGORIA],"Transporte",T_dados[SUBCATEGORIA],$B32,T_dados[DATA],"&gt;="&amp;JUL_I,T_dados[DATA],"&lt;="&amp;JUL_F)</f>
        <v>0</v>
      </c>
      <c r="K32" s="36">
        <f>SUMIFS(T_dados[VALOR],T_dados[CATEGORIA],"Transporte",T_dados[SUBCATEGORIA],$B32,T_dados[DATA],"&gt;="&amp;AGO_I,T_dados[DATA],"&lt;="&amp;AGO_F)</f>
        <v>0</v>
      </c>
      <c r="L32" s="36">
        <f>SUMIFS(T_dados[VALOR],T_dados[CATEGORIA],"Transporte",T_dados[SUBCATEGORIA],$B32,T_dados[DATA],"&gt;="&amp;SET_I,T_dados[DATA],"&lt;="&amp;SET_F)</f>
        <v>0</v>
      </c>
      <c r="M32" s="36">
        <f>SUMIFS(T_dados[VALOR],T_dados[CATEGORIA],"Transporte",T_dados[SUBCATEGORIA],$B32,T_dados[DATA],"&gt;="&amp;OUT_I,T_dados[DATA],"&lt;="&amp;OUT_F)</f>
        <v>0</v>
      </c>
      <c r="N32" s="36">
        <f>SUMIFS(T_dados[VALOR],T_dados[CATEGORIA],"Transporte",T_dados[SUBCATEGORIA],$B32,T_dados[DATA],"&gt;="&amp;NOV_I,T_dados[DATA],"&lt;="&amp;NOV_F)</f>
        <v>0</v>
      </c>
      <c r="O32" s="36">
        <f>SUMIFS(T_dados[VALOR],T_dados[CATEGORIA],"Transporte",T_dados[SUBCATEGORIA],$B32,T_dados[DATA],"&gt;="&amp;DEZ_I,T_dados[DATA],"&lt;="&amp;DEZ_F)</f>
        <v>0</v>
      </c>
      <c r="Q32" s="143"/>
      <c r="R32" s="146"/>
      <c r="T32" s="139"/>
    </row>
    <row r="33" spans="2:20" x14ac:dyDescent="0.25">
      <c r="B33" s="15" t="s">
        <v>20</v>
      </c>
      <c r="D33" s="36">
        <f>SUMIFS(T_dados[VALOR],T_dados[CATEGORIA],"Transporte",T_dados[SUBCATEGORIA],$B33,T_dados[DATA],"&gt;="&amp;JAN_I,T_dados[DATA],"&lt;="&amp;JAN_F)</f>
        <v>0</v>
      </c>
      <c r="E33" s="36">
        <f>SUMIFS(T_dados[VALOR],T_dados[CATEGORIA],"Transporte",T_dados[SUBCATEGORIA],$B33,T_dados[DATA],"&gt;="&amp;FEV_I,T_dados[DATA],"&lt;="&amp;FEV_F)</f>
        <v>0</v>
      </c>
      <c r="F33" s="36">
        <f>SUMIFS(T_dados[VALOR],T_dados[CATEGORIA],"Transporte",T_dados[SUBCATEGORIA],$B33,T_dados[DATA],"&gt;="&amp;MAR_I,T_dados[DATA],"&lt;="&amp;MAR_F)</f>
        <v>0</v>
      </c>
      <c r="G33" s="36">
        <f>SUMIFS(T_dados[VALOR],T_dados[CATEGORIA],"Transporte",T_dados[SUBCATEGORIA],$B33,T_dados[DATA],"&gt;="&amp;ABR_I,T_dados[DATA],"&lt;="&amp;ABR_F)</f>
        <v>0</v>
      </c>
      <c r="H33" s="36">
        <f>SUMIFS(T_dados[VALOR],T_dados[CATEGORIA],"Transporte",T_dados[SUBCATEGORIA],$B33,T_dados[DATA],"&gt;="&amp;MAI_I,T_dados[DATA],"&lt;="&amp;MAI_F)</f>
        <v>0</v>
      </c>
      <c r="I33" s="36">
        <f>SUMIFS(T_dados[VALOR],T_dados[CATEGORIA],"Transporte",T_dados[SUBCATEGORIA],$B33,T_dados[DATA],"&gt;="&amp;JUN_I,T_dados[DATA],"&lt;="&amp;JUN_F)</f>
        <v>0</v>
      </c>
      <c r="J33" s="36">
        <f>SUMIFS(T_dados[VALOR],T_dados[CATEGORIA],"Transporte",T_dados[SUBCATEGORIA],$B33,T_dados[DATA],"&gt;="&amp;JUL_I,T_dados[DATA],"&lt;="&amp;JUL_F)</f>
        <v>0</v>
      </c>
      <c r="K33" s="36">
        <f>SUMIFS(T_dados[VALOR],T_dados[CATEGORIA],"Transporte",T_dados[SUBCATEGORIA],$B33,T_dados[DATA],"&gt;="&amp;AGO_I,T_dados[DATA],"&lt;="&amp;AGO_F)</f>
        <v>0</v>
      </c>
      <c r="L33" s="36">
        <f>SUMIFS(T_dados[VALOR],T_dados[CATEGORIA],"Transporte",T_dados[SUBCATEGORIA],$B33,T_dados[DATA],"&gt;="&amp;SET_I,T_dados[DATA],"&lt;="&amp;SET_F)</f>
        <v>0</v>
      </c>
      <c r="M33" s="36">
        <f>SUMIFS(T_dados[VALOR],T_dados[CATEGORIA],"Transporte",T_dados[SUBCATEGORIA],$B33,T_dados[DATA],"&gt;="&amp;OUT_I,T_dados[DATA],"&lt;="&amp;OUT_F)</f>
        <v>0</v>
      </c>
      <c r="N33" s="36">
        <f>SUMIFS(T_dados[VALOR],T_dados[CATEGORIA],"Transporte",T_dados[SUBCATEGORIA],$B33,T_dados[DATA],"&gt;="&amp;NOV_I,T_dados[DATA],"&lt;="&amp;NOV_F)</f>
        <v>0</v>
      </c>
      <c r="O33" s="36">
        <f>SUMIFS(T_dados[VALOR],T_dados[CATEGORIA],"Transporte",T_dados[SUBCATEGORIA],$B33,T_dados[DATA],"&gt;="&amp;DEZ_I,T_dados[DATA],"&lt;="&amp;DEZ_F)</f>
        <v>0</v>
      </c>
      <c r="Q33" s="143"/>
      <c r="R33" s="146"/>
      <c r="T33" s="139"/>
    </row>
    <row r="34" spans="2:20" x14ac:dyDescent="0.25">
      <c r="B34" s="19" t="s">
        <v>59</v>
      </c>
      <c r="T34" s="139"/>
    </row>
    <row r="35" spans="2:20" x14ac:dyDescent="0.25">
      <c r="B35" s="16" t="s">
        <v>60</v>
      </c>
      <c r="D35" s="36">
        <f>SUMIFS(T_dados[VALOR],T_dados[CATEGORIA],"Saúde",T_dados[SUBCATEGORIA],$B35,T_dados[DATA],"&gt;="&amp;JAN_I,T_dados[DATA],"&lt;="&amp;JAN_F)</f>
        <v>0</v>
      </c>
      <c r="E35" s="36">
        <f>SUMIFS(T_dados[VALOR],T_dados[CATEGORIA],"Saúde",T_dados[SUBCATEGORIA],$B35,T_dados[DATA],"&gt;="&amp;FEV_I,T_dados[DATA],"&lt;="&amp;FEV_F)</f>
        <v>0</v>
      </c>
      <c r="F35" s="36">
        <f>SUMIFS(T_dados[VALOR],T_dados[CATEGORIA],"Saúde",T_dados[SUBCATEGORIA],$B35,T_dados[DATA],"&gt;="&amp;MAR_I,T_dados[DATA],"&lt;="&amp;MAR_F)</f>
        <v>0</v>
      </c>
      <c r="G35" s="36">
        <f>SUMIFS(T_dados[VALOR],T_dados[CATEGORIA],"Saúde",T_dados[SUBCATEGORIA],$B35,T_dados[DATA],"&gt;="&amp;ABR_I,T_dados[DATA],"&lt;="&amp;ABR_F)</f>
        <v>0</v>
      </c>
      <c r="H35" s="36">
        <f>SUMIFS(T_dados[VALOR],T_dados[CATEGORIA],"Saúde",T_dados[SUBCATEGORIA],$B35,T_dados[DATA],"&gt;="&amp;MAI_I,T_dados[DATA],"&lt;="&amp;MAI_F)</f>
        <v>0</v>
      </c>
      <c r="I35" s="36">
        <f>SUMIFS(T_dados[VALOR],T_dados[CATEGORIA],"Saúde",T_dados[SUBCATEGORIA],$B35,T_dados[DATA],"&gt;="&amp;JUN_I,T_dados[DATA],"&lt;="&amp;JUN_F)</f>
        <v>0</v>
      </c>
      <c r="J35" s="36">
        <f>SUMIFS(T_dados[VALOR],T_dados[CATEGORIA],"Saúde",T_dados[SUBCATEGORIA],$B35,T_dados[DATA],"&gt;="&amp;JUL_I,T_dados[DATA],"&lt;="&amp;JUL_F)</f>
        <v>0</v>
      </c>
      <c r="K35" s="36">
        <f>SUMIFS(T_dados[VALOR],T_dados[CATEGORIA],"Saúde",T_dados[SUBCATEGORIA],$B35,T_dados[DATA],"&gt;="&amp;AGO_I,T_dados[DATA],"&lt;="&amp;AGO_F)</f>
        <v>0</v>
      </c>
      <c r="L35" s="36">
        <f>SUMIFS(T_dados[VALOR],T_dados[CATEGORIA],"Saúde",T_dados[SUBCATEGORIA],$B35,T_dados[DATA],"&gt;="&amp;SET_I,T_dados[DATA],"&lt;="&amp;SET_F)</f>
        <v>0</v>
      </c>
      <c r="M35" s="36">
        <f>SUMIFS(T_dados[VALOR],T_dados[CATEGORIA],"Saúde",T_dados[SUBCATEGORIA],$B35,T_dados[DATA],"&gt;="&amp;OUT_I,T_dados[DATA],"&lt;="&amp;OUT_F)</f>
        <v>0</v>
      </c>
      <c r="N35" s="36">
        <f>SUMIFS(T_dados[VALOR],T_dados[CATEGORIA],"Saúde",T_dados[SUBCATEGORIA],$B35,T_dados[DATA],"&gt;="&amp;NOV_I,T_dados[DATA],"&lt;="&amp;NOV_F)</f>
        <v>0</v>
      </c>
      <c r="O35" s="36">
        <f>SUMIFS(T_dados[VALOR],T_dados[CATEGORIA],"Saúde",T_dados[SUBCATEGORIA],$B35,T_dados[DATA],"&gt;="&amp;DEZ_I,T_dados[DATA],"&lt;="&amp;DEZ_F)</f>
        <v>0</v>
      </c>
      <c r="Q35" s="141">
        <f>Orçamento!B42*12</f>
        <v>0</v>
      </c>
      <c r="R35" s="144">
        <f>SUM(D35:O37)</f>
        <v>0</v>
      </c>
      <c r="T35" s="139"/>
    </row>
    <row r="36" spans="2:20" x14ac:dyDescent="0.25">
      <c r="B36" s="17" t="s">
        <v>61</v>
      </c>
      <c r="D36" s="36">
        <f>SUMIFS(T_dados[VALOR],T_dados[CATEGORIA],"Saúde",T_dados[SUBCATEGORIA],$B36,T_dados[DATA],"&gt;="&amp;JAN_I,T_dados[DATA],"&lt;="&amp;JAN_F)</f>
        <v>0</v>
      </c>
      <c r="E36" s="36">
        <f>SUMIFS(T_dados[VALOR],T_dados[CATEGORIA],"Saúde",T_dados[SUBCATEGORIA],$B36,T_dados[DATA],"&gt;="&amp;FEV_I,T_dados[DATA],"&lt;="&amp;FEV_F)</f>
        <v>0</v>
      </c>
      <c r="F36" s="36">
        <f>SUMIFS(T_dados[VALOR],T_dados[CATEGORIA],"Saúde",T_dados[SUBCATEGORIA],$B36,T_dados[DATA],"&gt;="&amp;MAR_I,T_dados[DATA],"&lt;="&amp;MAR_F)</f>
        <v>0</v>
      </c>
      <c r="G36" s="36">
        <f>SUMIFS(T_dados[VALOR],T_dados[CATEGORIA],"Saúde",T_dados[SUBCATEGORIA],$B36,T_dados[DATA],"&gt;="&amp;ABR_I,T_dados[DATA],"&lt;="&amp;ABR_F)</f>
        <v>0</v>
      </c>
      <c r="H36" s="36">
        <f>SUMIFS(T_dados[VALOR],T_dados[CATEGORIA],"Saúde",T_dados[SUBCATEGORIA],$B36,T_dados[DATA],"&gt;="&amp;MAI_I,T_dados[DATA],"&lt;="&amp;MAI_F)</f>
        <v>0</v>
      </c>
      <c r="I36" s="36">
        <f>SUMIFS(T_dados[VALOR],T_dados[CATEGORIA],"Saúde",T_dados[SUBCATEGORIA],$B36,T_dados[DATA],"&gt;="&amp;JUN_I,T_dados[DATA],"&lt;="&amp;JUN_F)</f>
        <v>0</v>
      </c>
      <c r="J36" s="36">
        <f>SUMIFS(T_dados[VALOR],T_dados[CATEGORIA],"Saúde",T_dados[SUBCATEGORIA],$B36,T_dados[DATA],"&gt;="&amp;JUL_I,T_dados[DATA],"&lt;="&amp;JUL_F)</f>
        <v>0</v>
      </c>
      <c r="K36" s="36">
        <f>SUMIFS(T_dados[VALOR],T_dados[CATEGORIA],"Saúde",T_dados[SUBCATEGORIA],$B36,T_dados[DATA],"&gt;="&amp;AGO_I,T_dados[DATA],"&lt;="&amp;AGO_F)</f>
        <v>0</v>
      </c>
      <c r="L36" s="36">
        <f>SUMIFS(T_dados[VALOR],T_dados[CATEGORIA],"Saúde",T_dados[SUBCATEGORIA],$B36,T_dados[DATA],"&gt;="&amp;SET_I,T_dados[DATA],"&lt;="&amp;SET_F)</f>
        <v>0</v>
      </c>
      <c r="M36" s="36">
        <f>SUMIFS(T_dados[VALOR],T_dados[CATEGORIA],"Saúde",T_dados[SUBCATEGORIA],$B36,T_dados[DATA],"&gt;="&amp;OUT_I,T_dados[DATA],"&lt;="&amp;OUT_F)</f>
        <v>0</v>
      </c>
      <c r="N36" s="36">
        <f>SUMIFS(T_dados[VALOR],T_dados[CATEGORIA],"Saúde",T_dados[SUBCATEGORIA],$B36,T_dados[DATA],"&gt;="&amp;NOV_I,T_dados[DATA],"&lt;="&amp;NOV_F)</f>
        <v>0</v>
      </c>
      <c r="O36" s="36">
        <f>SUMIFS(T_dados[VALOR],T_dados[CATEGORIA],"Saúde",T_dados[SUBCATEGORIA],$B36,T_dados[DATA],"&gt;="&amp;DEZ_I,T_dados[DATA],"&lt;="&amp;DEZ_F)</f>
        <v>0</v>
      </c>
      <c r="Q36" s="142"/>
      <c r="R36" s="145"/>
      <c r="T36" s="139"/>
    </row>
    <row r="37" spans="2:20" x14ac:dyDescent="0.25">
      <c r="B37" s="15" t="s">
        <v>20</v>
      </c>
      <c r="D37" s="36">
        <f>SUMIFS(T_dados[VALOR],T_dados[CATEGORIA],"Saúde",T_dados[SUBCATEGORIA],$B37,T_dados[DATA],"&gt;="&amp;JAN_I,T_dados[DATA],"&lt;="&amp;JAN_F)</f>
        <v>0</v>
      </c>
      <c r="E37" s="36">
        <f>SUMIFS(T_dados[VALOR],T_dados[CATEGORIA],"Saúde",T_dados[SUBCATEGORIA],$B37,T_dados[DATA],"&gt;="&amp;FEV_I,T_dados[DATA],"&lt;="&amp;FEV_F)</f>
        <v>0</v>
      </c>
      <c r="F37" s="36">
        <f>SUMIFS(T_dados[VALOR],T_dados[CATEGORIA],"Saúde",T_dados[SUBCATEGORIA],$B37,T_dados[DATA],"&gt;="&amp;MAR_I,T_dados[DATA],"&lt;="&amp;MAR_F)</f>
        <v>0</v>
      </c>
      <c r="G37" s="36">
        <f>SUMIFS(T_dados[VALOR],T_dados[CATEGORIA],"Saúde",T_dados[SUBCATEGORIA],$B37,T_dados[DATA],"&gt;="&amp;ABR_I,T_dados[DATA],"&lt;="&amp;ABR_F)</f>
        <v>0</v>
      </c>
      <c r="H37" s="36">
        <f>SUMIFS(T_dados[VALOR],T_dados[CATEGORIA],"Saúde",T_dados[SUBCATEGORIA],$B37,T_dados[DATA],"&gt;="&amp;MAI_I,T_dados[DATA],"&lt;="&amp;MAI_F)</f>
        <v>0</v>
      </c>
      <c r="I37" s="36">
        <f>SUMIFS(T_dados[VALOR],T_dados[CATEGORIA],"Saúde",T_dados[SUBCATEGORIA],$B37,T_dados[DATA],"&gt;="&amp;JUN_I,T_dados[DATA],"&lt;="&amp;JUN_F)</f>
        <v>0</v>
      </c>
      <c r="J37" s="36">
        <f>SUMIFS(T_dados[VALOR],T_dados[CATEGORIA],"Saúde",T_dados[SUBCATEGORIA],$B37,T_dados[DATA],"&gt;="&amp;JUL_I,T_dados[DATA],"&lt;="&amp;JUL_F)</f>
        <v>0</v>
      </c>
      <c r="K37" s="36">
        <f>SUMIFS(T_dados[VALOR],T_dados[CATEGORIA],"Saúde",T_dados[SUBCATEGORIA],$B37,T_dados[DATA],"&gt;="&amp;AGO_I,T_dados[DATA],"&lt;="&amp;AGO_F)</f>
        <v>0</v>
      </c>
      <c r="L37" s="36">
        <f>SUMIFS(T_dados[VALOR],T_dados[CATEGORIA],"Saúde",T_dados[SUBCATEGORIA],$B37,T_dados[DATA],"&gt;="&amp;SET_I,T_dados[DATA],"&lt;="&amp;SET_F)</f>
        <v>0</v>
      </c>
      <c r="M37" s="36">
        <f>SUMIFS(T_dados[VALOR],T_dados[CATEGORIA],"Saúde",T_dados[SUBCATEGORIA],$B37,T_dados[DATA],"&gt;="&amp;OUT_I,T_dados[DATA],"&lt;="&amp;OUT_F)</f>
        <v>0</v>
      </c>
      <c r="N37" s="36">
        <f>SUMIFS(T_dados[VALOR],T_dados[CATEGORIA],"Saúde",T_dados[SUBCATEGORIA],$B37,T_dados[DATA],"&gt;="&amp;NOV_I,T_dados[DATA],"&lt;="&amp;NOV_F)</f>
        <v>0</v>
      </c>
      <c r="O37" s="36">
        <f>SUMIFS(T_dados[VALOR],T_dados[CATEGORIA],"Saúde",T_dados[SUBCATEGORIA],$B37,T_dados[DATA],"&gt;="&amp;DEZ_I,T_dados[DATA],"&lt;="&amp;DEZ_F)</f>
        <v>0</v>
      </c>
      <c r="Q37" s="143"/>
      <c r="R37" s="146"/>
      <c r="T37" s="139"/>
    </row>
    <row r="38" spans="2:20" x14ac:dyDescent="0.25">
      <c r="B38" s="19" t="s">
        <v>62</v>
      </c>
      <c r="T38" s="139"/>
    </row>
    <row r="39" spans="2:20" x14ac:dyDescent="0.25">
      <c r="B39" s="16" t="s">
        <v>63</v>
      </c>
      <c r="D39" s="36">
        <f>SUMIFS(T_dados[VALOR],T_dados[CATEGORIA],"Pessoais",T_dados[SUBCATEGORIA],$B39,T_dados[DATA],"&gt;="&amp;JAN_I,T_dados[DATA],"&lt;="&amp;JAN_F)</f>
        <v>0</v>
      </c>
      <c r="E39" s="36">
        <f>SUMIFS(T_dados[VALOR],T_dados[CATEGORIA],"Pessoais",T_dados[SUBCATEGORIA],$B39,T_dados[DATA],"&gt;="&amp;FEV_I,T_dados[DATA],"&lt;="&amp;FEV_F)</f>
        <v>0</v>
      </c>
      <c r="F39" s="36">
        <f>SUMIFS(T_dados[VALOR],T_dados[CATEGORIA],"Pessoais",T_dados[SUBCATEGORIA],$B39,T_dados[DATA],"&gt;="&amp;MAR_I,T_dados[DATA],"&lt;="&amp;MAR_F)</f>
        <v>0</v>
      </c>
      <c r="G39" s="36">
        <f>SUMIFS(T_dados[VALOR],T_dados[CATEGORIA],"Pessoais",T_dados[SUBCATEGORIA],$B39,T_dados[DATA],"&gt;="&amp;ABR_I,T_dados[DATA],"&lt;="&amp;ABR_F)</f>
        <v>0</v>
      </c>
      <c r="H39" s="36">
        <f>SUMIFS(T_dados[VALOR],T_dados[CATEGORIA],"Pessoais",T_dados[SUBCATEGORIA],$B39,T_dados[DATA],"&gt;="&amp;MAI_I,T_dados[DATA],"&lt;="&amp;MAI_F)</f>
        <v>0</v>
      </c>
      <c r="I39" s="36">
        <f>SUMIFS(T_dados[VALOR],T_dados[CATEGORIA],"Pessoais",T_dados[SUBCATEGORIA],$B39,T_dados[DATA],"&gt;="&amp;JUN_I,T_dados[DATA],"&lt;="&amp;JUN_F)</f>
        <v>0</v>
      </c>
      <c r="J39" s="36">
        <f>SUMIFS(T_dados[VALOR],T_dados[CATEGORIA],"Pessoais",T_dados[SUBCATEGORIA],$B39,T_dados[DATA],"&gt;="&amp;JUL_I,T_dados[DATA],"&lt;="&amp;JUL_F)</f>
        <v>0</v>
      </c>
      <c r="K39" s="36">
        <f>SUMIFS(T_dados[VALOR],T_dados[CATEGORIA],"Pessoais",T_dados[SUBCATEGORIA],$B39,T_dados[DATA],"&gt;="&amp;AGO_I,T_dados[DATA],"&lt;="&amp;AGO_F)</f>
        <v>0</v>
      </c>
      <c r="L39" s="36">
        <f>SUMIFS(T_dados[VALOR],T_dados[CATEGORIA],"Pessoais",T_dados[SUBCATEGORIA],$B39,T_dados[DATA],"&gt;="&amp;SET_I,T_dados[DATA],"&lt;="&amp;SET_F)</f>
        <v>0</v>
      </c>
      <c r="M39" s="36">
        <f>SUMIFS(T_dados[VALOR],T_dados[CATEGORIA],"Pessoais",T_dados[SUBCATEGORIA],$B39,T_dados[DATA],"&gt;="&amp;OUT_I,T_dados[DATA],"&lt;="&amp;OUT_F)</f>
        <v>0</v>
      </c>
      <c r="N39" s="36">
        <f>SUMIFS(T_dados[VALOR],T_dados[CATEGORIA],"Pessoais",T_dados[SUBCATEGORIA],$B39,T_dados[DATA],"&gt;="&amp;NOV_I,T_dados[DATA],"&lt;="&amp;NOV_F)</f>
        <v>0</v>
      </c>
      <c r="O39" s="36">
        <f>SUMIFS(T_dados[VALOR],T_dados[CATEGORIA],"Pessoais",T_dados[SUBCATEGORIA],$B39,T_dados[DATA],"&gt;="&amp;DEZ_I,T_dados[DATA],"&lt;="&amp;DEZ_F)</f>
        <v>0</v>
      </c>
      <c r="Q39" s="141">
        <f>Orçamento!B43*12</f>
        <v>0</v>
      </c>
      <c r="R39" s="144">
        <f>SUM(D39:O43)</f>
        <v>0</v>
      </c>
      <c r="T39" s="139"/>
    </row>
    <row r="40" spans="2:20" x14ac:dyDescent="0.25">
      <c r="B40" s="17" t="s">
        <v>64</v>
      </c>
      <c r="D40" s="36">
        <f>SUMIFS(T_dados[VALOR],T_dados[CATEGORIA],"Pessoais",T_dados[SUBCATEGORIA],$B40,T_dados[DATA],"&gt;="&amp;JAN_I,T_dados[DATA],"&lt;="&amp;JAN_F)</f>
        <v>0</v>
      </c>
      <c r="E40" s="36">
        <f>SUMIFS(T_dados[VALOR],T_dados[CATEGORIA],"Pessoais",T_dados[SUBCATEGORIA],$B40,T_dados[DATA],"&gt;="&amp;FEV_I,T_dados[DATA],"&lt;="&amp;FEV_F)</f>
        <v>0</v>
      </c>
      <c r="F40" s="36">
        <f>SUMIFS(T_dados[VALOR],T_dados[CATEGORIA],"Pessoais",T_dados[SUBCATEGORIA],$B40,T_dados[DATA],"&gt;="&amp;MAR_I,T_dados[DATA],"&lt;="&amp;MAR_F)</f>
        <v>0</v>
      </c>
      <c r="G40" s="36">
        <f>SUMIFS(T_dados[VALOR],T_dados[CATEGORIA],"Pessoais",T_dados[SUBCATEGORIA],$B40,T_dados[DATA],"&gt;="&amp;ABR_I,T_dados[DATA],"&lt;="&amp;ABR_F)</f>
        <v>0</v>
      </c>
      <c r="H40" s="36">
        <f>SUMIFS(T_dados[VALOR],T_dados[CATEGORIA],"Pessoais",T_dados[SUBCATEGORIA],$B40,T_dados[DATA],"&gt;="&amp;MAI_I,T_dados[DATA],"&lt;="&amp;MAI_F)</f>
        <v>0</v>
      </c>
      <c r="I40" s="36">
        <f>SUMIFS(T_dados[VALOR],T_dados[CATEGORIA],"Pessoais",T_dados[SUBCATEGORIA],$B40,T_dados[DATA],"&gt;="&amp;JUN_I,T_dados[DATA],"&lt;="&amp;JUN_F)</f>
        <v>0</v>
      </c>
      <c r="J40" s="36">
        <f>SUMIFS(T_dados[VALOR],T_dados[CATEGORIA],"Pessoais",T_dados[SUBCATEGORIA],$B40,T_dados[DATA],"&gt;="&amp;JUL_I,T_dados[DATA],"&lt;="&amp;JUL_F)</f>
        <v>0</v>
      </c>
      <c r="K40" s="36">
        <f>SUMIFS(T_dados[VALOR],T_dados[CATEGORIA],"Pessoais",T_dados[SUBCATEGORIA],$B40,T_dados[DATA],"&gt;="&amp;AGO_I,T_dados[DATA],"&lt;="&amp;AGO_F)</f>
        <v>0</v>
      </c>
      <c r="L40" s="36">
        <f>SUMIFS(T_dados[VALOR],T_dados[CATEGORIA],"Pessoais",T_dados[SUBCATEGORIA],$B40,T_dados[DATA],"&gt;="&amp;SET_I,T_dados[DATA],"&lt;="&amp;SET_F)</f>
        <v>0</v>
      </c>
      <c r="M40" s="36">
        <f>SUMIFS(T_dados[VALOR],T_dados[CATEGORIA],"Pessoais",T_dados[SUBCATEGORIA],$B40,T_dados[DATA],"&gt;="&amp;OUT_I,T_dados[DATA],"&lt;="&amp;OUT_F)</f>
        <v>0</v>
      </c>
      <c r="N40" s="36">
        <f>SUMIFS(T_dados[VALOR],T_dados[CATEGORIA],"Pessoais",T_dados[SUBCATEGORIA],$B40,T_dados[DATA],"&gt;="&amp;NOV_I,T_dados[DATA],"&lt;="&amp;NOV_F)</f>
        <v>0</v>
      </c>
      <c r="O40" s="36">
        <f>SUMIFS(T_dados[VALOR],T_dados[CATEGORIA],"Pessoais",T_dados[SUBCATEGORIA],$B40,T_dados[DATA],"&gt;="&amp;DEZ_I,T_dados[DATA],"&lt;="&amp;DEZ_F)</f>
        <v>0</v>
      </c>
      <c r="Q40" s="142"/>
      <c r="R40" s="145"/>
      <c r="T40" s="139"/>
    </row>
    <row r="41" spans="2:20" x14ac:dyDescent="0.25">
      <c r="B41" s="17" t="s">
        <v>65</v>
      </c>
      <c r="D41" s="36">
        <f>SUMIFS(T_dados[VALOR],T_dados[CATEGORIA],"Pessoais",T_dados[SUBCATEGORIA],$B41,T_dados[DATA],"&gt;="&amp;JAN_I,T_dados[DATA],"&lt;="&amp;JAN_F)</f>
        <v>0</v>
      </c>
      <c r="E41" s="36">
        <f>SUMIFS(T_dados[VALOR],T_dados[CATEGORIA],"Pessoais",T_dados[SUBCATEGORIA],$B41,T_dados[DATA],"&gt;="&amp;FEV_I,T_dados[DATA],"&lt;="&amp;FEV_F)</f>
        <v>0</v>
      </c>
      <c r="F41" s="36">
        <f>SUMIFS(T_dados[VALOR],T_dados[CATEGORIA],"Pessoais",T_dados[SUBCATEGORIA],$B41,T_dados[DATA],"&gt;="&amp;MAR_I,T_dados[DATA],"&lt;="&amp;MAR_F)</f>
        <v>0</v>
      </c>
      <c r="G41" s="36">
        <f>SUMIFS(T_dados[VALOR],T_dados[CATEGORIA],"Pessoais",T_dados[SUBCATEGORIA],$B41,T_dados[DATA],"&gt;="&amp;ABR_I,T_dados[DATA],"&lt;="&amp;ABR_F)</f>
        <v>0</v>
      </c>
      <c r="H41" s="36">
        <f>SUMIFS(T_dados[VALOR],T_dados[CATEGORIA],"Pessoais",T_dados[SUBCATEGORIA],$B41,T_dados[DATA],"&gt;="&amp;MAI_I,T_dados[DATA],"&lt;="&amp;MAI_F)</f>
        <v>0</v>
      </c>
      <c r="I41" s="36">
        <f>SUMIFS(T_dados[VALOR],T_dados[CATEGORIA],"Pessoais",T_dados[SUBCATEGORIA],$B41,T_dados[DATA],"&gt;="&amp;JUN_I,T_dados[DATA],"&lt;="&amp;JUN_F)</f>
        <v>0</v>
      </c>
      <c r="J41" s="36">
        <f>SUMIFS(T_dados[VALOR],T_dados[CATEGORIA],"Pessoais",T_dados[SUBCATEGORIA],$B41,T_dados[DATA],"&gt;="&amp;JUL_I,T_dados[DATA],"&lt;="&amp;JUL_F)</f>
        <v>0</v>
      </c>
      <c r="K41" s="36">
        <f>SUMIFS(T_dados[VALOR],T_dados[CATEGORIA],"Pessoais",T_dados[SUBCATEGORIA],$B41,T_dados[DATA],"&gt;="&amp;AGO_I,T_dados[DATA],"&lt;="&amp;AGO_F)</f>
        <v>0</v>
      </c>
      <c r="L41" s="36">
        <f>SUMIFS(T_dados[VALOR],T_dados[CATEGORIA],"Pessoais",T_dados[SUBCATEGORIA],$B41,T_dados[DATA],"&gt;="&amp;SET_I,T_dados[DATA],"&lt;="&amp;SET_F)</f>
        <v>0</v>
      </c>
      <c r="M41" s="36">
        <f>SUMIFS(T_dados[VALOR],T_dados[CATEGORIA],"Pessoais",T_dados[SUBCATEGORIA],$B41,T_dados[DATA],"&gt;="&amp;OUT_I,T_dados[DATA],"&lt;="&amp;OUT_F)</f>
        <v>0</v>
      </c>
      <c r="N41" s="36">
        <f>SUMIFS(T_dados[VALOR],T_dados[CATEGORIA],"Pessoais",T_dados[SUBCATEGORIA],$B41,T_dados[DATA],"&gt;="&amp;NOV_I,T_dados[DATA],"&lt;="&amp;NOV_F)</f>
        <v>0</v>
      </c>
      <c r="O41" s="36">
        <f>SUMIFS(T_dados[VALOR],T_dados[CATEGORIA],"Pessoais",T_dados[SUBCATEGORIA],$B41,T_dados[DATA],"&gt;="&amp;DEZ_I,T_dados[DATA],"&lt;="&amp;DEZ_F)</f>
        <v>0</v>
      </c>
      <c r="Q41" s="142"/>
      <c r="R41" s="145"/>
      <c r="T41" s="139"/>
    </row>
    <row r="42" spans="2:20" x14ac:dyDescent="0.25">
      <c r="B42" s="17" t="s">
        <v>66</v>
      </c>
      <c r="D42" s="36">
        <f>SUMIFS(T_dados[VALOR],T_dados[CATEGORIA],"Pessoais",T_dados[SUBCATEGORIA],$B42,T_dados[DATA],"&gt;="&amp;JAN_I,T_dados[DATA],"&lt;="&amp;JAN_F)</f>
        <v>0</v>
      </c>
      <c r="E42" s="36">
        <f>SUMIFS(T_dados[VALOR],T_dados[CATEGORIA],"Pessoais",T_dados[SUBCATEGORIA],$B42,T_dados[DATA],"&gt;="&amp;FEV_I,T_dados[DATA],"&lt;="&amp;FEV_F)</f>
        <v>0</v>
      </c>
      <c r="F42" s="36">
        <f>SUMIFS(T_dados[VALOR],T_dados[CATEGORIA],"Pessoais",T_dados[SUBCATEGORIA],$B42,T_dados[DATA],"&gt;="&amp;MAR_I,T_dados[DATA],"&lt;="&amp;MAR_F)</f>
        <v>0</v>
      </c>
      <c r="G42" s="36">
        <f>SUMIFS(T_dados[VALOR],T_dados[CATEGORIA],"Pessoais",T_dados[SUBCATEGORIA],$B42,T_dados[DATA],"&gt;="&amp;ABR_I,T_dados[DATA],"&lt;="&amp;ABR_F)</f>
        <v>0</v>
      </c>
      <c r="H42" s="36">
        <f>SUMIFS(T_dados[VALOR],T_dados[CATEGORIA],"Pessoais",T_dados[SUBCATEGORIA],$B42,T_dados[DATA],"&gt;="&amp;MAI_I,T_dados[DATA],"&lt;="&amp;MAI_F)</f>
        <v>0</v>
      </c>
      <c r="I42" s="36">
        <f>SUMIFS(T_dados[VALOR],T_dados[CATEGORIA],"Pessoais",T_dados[SUBCATEGORIA],$B42,T_dados[DATA],"&gt;="&amp;JUN_I,T_dados[DATA],"&lt;="&amp;JUN_F)</f>
        <v>0</v>
      </c>
      <c r="J42" s="36">
        <f>SUMIFS(T_dados[VALOR],T_dados[CATEGORIA],"Pessoais",T_dados[SUBCATEGORIA],$B42,T_dados[DATA],"&gt;="&amp;JUL_I,T_dados[DATA],"&lt;="&amp;JUL_F)</f>
        <v>0</v>
      </c>
      <c r="K42" s="36">
        <f>SUMIFS(T_dados[VALOR],T_dados[CATEGORIA],"Pessoais",T_dados[SUBCATEGORIA],$B42,T_dados[DATA],"&gt;="&amp;AGO_I,T_dados[DATA],"&lt;="&amp;AGO_F)</f>
        <v>0</v>
      </c>
      <c r="L42" s="36">
        <f>SUMIFS(T_dados[VALOR],T_dados[CATEGORIA],"Pessoais",T_dados[SUBCATEGORIA],$B42,T_dados[DATA],"&gt;="&amp;SET_I,T_dados[DATA],"&lt;="&amp;SET_F)</f>
        <v>0</v>
      </c>
      <c r="M42" s="36">
        <f>SUMIFS(T_dados[VALOR],T_dados[CATEGORIA],"Pessoais",T_dados[SUBCATEGORIA],$B42,T_dados[DATA],"&gt;="&amp;OUT_I,T_dados[DATA],"&lt;="&amp;OUT_F)</f>
        <v>0</v>
      </c>
      <c r="N42" s="36">
        <f>SUMIFS(T_dados[VALOR],T_dados[CATEGORIA],"Pessoais",T_dados[SUBCATEGORIA],$B42,T_dados[DATA],"&gt;="&amp;NOV_I,T_dados[DATA],"&lt;="&amp;NOV_F)</f>
        <v>0</v>
      </c>
      <c r="O42" s="36">
        <f>SUMIFS(T_dados[VALOR],T_dados[CATEGORIA],"Pessoais",T_dados[SUBCATEGORIA],$B42,T_dados[DATA],"&gt;="&amp;DEZ_I,T_dados[DATA],"&lt;="&amp;DEZ_F)</f>
        <v>0</v>
      </c>
      <c r="Q42" s="142"/>
      <c r="R42" s="145"/>
      <c r="T42" s="139"/>
    </row>
    <row r="43" spans="2:20" x14ac:dyDescent="0.25">
      <c r="B43" s="15" t="s">
        <v>20</v>
      </c>
      <c r="D43" s="36">
        <f>SUMIFS(T_dados[VALOR],T_dados[CATEGORIA],"Pessoais",T_dados[SUBCATEGORIA],$B43,T_dados[DATA],"&gt;="&amp;JAN_I,T_dados[DATA],"&lt;="&amp;JAN_F)</f>
        <v>0</v>
      </c>
      <c r="E43" s="36">
        <f>SUMIFS(T_dados[VALOR],T_dados[CATEGORIA],"Pessoais",T_dados[SUBCATEGORIA],$B43,T_dados[DATA],"&gt;="&amp;FEV_I,T_dados[DATA],"&lt;="&amp;FEV_F)</f>
        <v>0</v>
      </c>
      <c r="F43" s="36">
        <f>SUMIFS(T_dados[VALOR],T_dados[CATEGORIA],"Pessoais",T_dados[SUBCATEGORIA],$B43,T_dados[DATA],"&gt;="&amp;MAR_I,T_dados[DATA],"&lt;="&amp;MAR_F)</f>
        <v>0</v>
      </c>
      <c r="G43" s="36">
        <f>SUMIFS(T_dados[VALOR],T_dados[CATEGORIA],"Pessoais",T_dados[SUBCATEGORIA],$B43,T_dados[DATA],"&gt;="&amp;ABR_I,T_dados[DATA],"&lt;="&amp;ABR_F)</f>
        <v>0</v>
      </c>
      <c r="H43" s="36">
        <f>SUMIFS(T_dados[VALOR],T_dados[CATEGORIA],"Pessoais",T_dados[SUBCATEGORIA],$B43,T_dados[DATA],"&gt;="&amp;MAI_I,T_dados[DATA],"&lt;="&amp;MAI_F)</f>
        <v>0</v>
      </c>
      <c r="I43" s="36">
        <f>SUMIFS(T_dados[VALOR],T_dados[CATEGORIA],"Pessoais",T_dados[SUBCATEGORIA],$B43,T_dados[DATA],"&gt;="&amp;JUN_I,T_dados[DATA],"&lt;="&amp;JUN_F)</f>
        <v>0</v>
      </c>
      <c r="J43" s="36">
        <f>SUMIFS(T_dados[VALOR],T_dados[CATEGORIA],"Pessoais",T_dados[SUBCATEGORIA],$B43,T_dados[DATA],"&gt;="&amp;JUL_I,T_dados[DATA],"&lt;="&amp;JUL_F)</f>
        <v>0</v>
      </c>
      <c r="K43" s="36">
        <f>SUMIFS(T_dados[VALOR],T_dados[CATEGORIA],"Pessoais",T_dados[SUBCATEGORIA],$B43,T_dados[DATA],"&gt;="&amp;AGO_I,T_dados[DATA],"&lt;="&amp;AGO_F)</f>
        <v>0</v>
      </c>
      <c r="L43" s="36">
        <f>SUMIFS(T_dados[VALOR],T_dados[CATEGORIA],"Pessoais",T_dados[SUBCATEGORIA],$B43,T_dados[DATA],"&gt;="&amp;SET_I,T_dados[DATA],"&lt;="&amp;SET_F)</f>
        <v>0</v>
      </c>
      <c r="M43" s="36">
        <f>SUMIFS(T_dados[VALOR],T_dados[CATEGORIA],"Pessoais",T_dados[SUBCATEGORIA],$B43,T_dados[DATA],"&gt;="&amp;OUT_I,T_dados[DATA],"&lt;="&amp;OUT_F)</f>
        <v>0</v>
      </c>
      <c r="N43" s="36">
        <f>SUMIFS(T_dados[VALOR],T_dados[CATEGORIA],"Pessoais",T_dados[SUBCATEGORIA],$B43,T_dados[DATA],"&gt;="&amp;NOV_I,T_dados[DATA],"&lt;="&amp;NOV_F)</f>
        <v>0</v>
      </c>
      <c r="O43" s="36">
        <f>SUMIFS(T_dados[VALOR],T_dados[CATEGORIA],"Pessoais",T_dados[SUBCATEGORIA],$B43,T_dados[DATA],"&gt;="&amp;DEZ_I,T_dados[DATA],"&lt;="&amp;DEZ_F)</f>
        <v>0</v>
      </c>
      <c r="Q43" s="143"/>
      <c r="R43" s="146"/>
      <c r="T43" s="139"/>
    </row>
    <row r="44" spans="2:20" x14ac:dyDescent="0.25">
      <c r="B44" s="19" t="s">
        <v>67</v>
      </c>
      <c r="T44" s="139"/>
    </row>
    <row r="45" spans="2:20" x14ac:dyDescent="0.25">
      <c r="B45" s="16" t="s">
        <v>68</v>
      </c>
      <c r="D45" s="36">
        <f>SUMIFS(T_dados[VALOR],T_dados[CATEGORIA],"Educação",T_dados[SUBCATEGORIA],$B45,T_dados[DATA],"&gt;="&amp;JAN_I,T_dados[DATA],"&lt;="&amp;JAN_F)</f>
        <v>0</v>
      </c>
      <c r="E45" s="36">
        <f>SUMIFS(T_dados[VALOR],T_dados[CATEGORIA],"Educação",T_dados[SUBCATEGORIA],$B45,T_dados[DATA],"&gt;="&amp;FEV_I,T_dados[DATA],"&lt;="&amp;FEV_F)</f>
        <v>0</v>
      </c>
      <c r="F45" s="36">
        <f>SUMIFS(T_dados[VALOR],T_dados[CATEGORIA],"Educação",T_dados[SUBCATEGORIA],$B45,T_dados[DATA],"&gt;="&amp;MAR_I,T_dados[DATA],"&lt;="&amp;MAR_F)</f>
        <v>0</v>
      </c>
      <c r="G45" s="36">
        <f>SUMIFS(T_dados[VALOR],T_dados[CATEGORIA],"Educação",T_dados[SUBCATEGORIA],$B45,T_dados[DATA],"&gt;="&amp;ABR_I,T_dados[DATA],"&lt;="&amp;ABR_F)</f>
        <v>0</v>
      </c>
      <c r="H45" s="36">
        <f>SUMIFS(T_dados[VALOR],T_dados[CATEGORIA],"Educação",T_dados[SUBCATEGORIA],$B45,T_dados[DATA],"&gt;="&amp;MAI_I,T_dados[DATA],"&lt;="&amp;MAI_F)</f>
        <v>0</v>
      </c>
      <c r="I45" s="36">
        <f>SUMIFS(T_dados[VALOR],T_dados[CATEGORIA],"Educação",T_dados[SUBCATEGORIA],$B45,T_dados[DATA],"&gt;="&amp;JUN_I,T_dados[DATA],"&lt;="&amp;JUN_F)</f>
        <v>0</v>
      </c>
      <c r="J45" s="36">
        <f>SUMIFS(T_dados[VALOR],T_dados[CATEGORIA],"Educação",T_dados[SUBCATEGORIA],$B45,T_dados[DATA],"&gt;="&amp;JUL_I,T_dados[DATA],"&lt;="&amp;JUL_F)</f>
        <v>0</v>
      </c>
      <c r="K45" s="36">
        <f>SUMIFS(T_dados[VALOR],T_dados[CATEGORIA],"Educação",T_dados[SUBCATEGORIA],$B45,T_dados[DATA],"&gt;="&amp;AGO_I,T_dados[DATA],"&lt;="&amp;AGO_F)</f>
        <v>0</v>
      </c>
      <c r="L45" s="36">
        <f>SUMIFS(T_dados[VALOR],T_dados[CATEGORIA],"Educação",T_dados[SUBCATEGORIA],$B45,T_dados[DATA],"&gt;="&amp;SET_I,T_dados[DATA],"&lt;="&amp;SET_F)</f>
        <v>0</v>
      </c>
      <c r="M45" s="36">
        <f>SUMIFS(T_dados[VALOR],T_dados[CATEGORIA],"Educação",T_dados[SUBCATEGORIA],$B45,T_dados[DATA],"&gt;="&amp;OUT_I,T_dados[DATA],"&lt;="&amp;OUT_F)</f>
        <v>0</v>
      </c>
      <c r="N45" s="36">
        <f>SUMIFS(T_dados[VALOR],T_dados[CATEGORIA],"Educação",T_dados[SUBCATEGORIA],$B45,T_dados[DATA],"&gt;="&amp;NOV_I,T_dados[DATA],"&lt;="&amp;NOV_F)</f>
        <v>0</v>
      </c>
      <c r="O45" s="36">
        <f>SUMIFS(T_dados[VALOR],T_dados[CATEGORIA],"Educação",T_dados[SUBCATEGORIA],$B45,T_dados[DATA],"&gt;="&amp;DEZ_I,T_dados[DATA],"&lt;="&amp;DEZ_F)</f>
        <v>0</v>
      </c>
      <c r="Q45" s="141">
        <f>Orçamento!B44*12</f>
        <v>0</v>
      </c>
      <c r="R45" s="144">
        <f>SUM(D45:O47)</f>
        <v>0</v>
      </c>
      <c r="T45" s="139"/>
    </row>
    <row r="46" spans="2:20" x14ac:dyDescent="0.25">
      <c r="B46" s="17" t="s">
        <v>30</v>
      </c>
      <c r="D46" s="36">
        <f>SUMIFS(T_dados[VALOR],T_dados[CATEGORIA],"Educação",T_dados[SUBCATEGORIA],$B46,T_dados[DATA],"&gt;="&amp;JAN_I,T_dados[DATA],"&lt;="&amp;JAN_F)</f>
        <v>0</v>
      </c>
      <c r="E46" s="36">
        <f>SUMIFS(T_dados[VALOR],T_dados[CATEGORIA],"Educação",T_dados[SUBCATEGORIA],$B46,T_dados[DATA],"&gt;="&amp;FEV_I,T_dados[DATA],"&lt;="&amp;FEV_F)</f>
        <v>0</v>
      </c>
      <c r="F46" s="36">
        <f>SUMIFS(T_dados[VALOR],T_dados[CATEGORIA],"Educação",T_dados[SUBCATEGORIA],$B46,T_dados[DATA],"&gt;="&amp;MAR_I,T_dados[DATA],"&lt;="&amp;MAR_F)</f>
        <v>0</v>
      </c>
      <c r="G46" s="36">
        <f>SUMIFS(T_dados[VALOR],T_dados[CATEGORIA],"Educação",T_dados[SUBCATEGORIA],$B46,T_dados[DATA],"&gt;="&amp;ABR_I,T_dados[DATA],"&lt;="&amp;ABR_F)</f>
        <v>0</v>
      </c>
      <c r="H46" s="36">
        <f>SUMIFS(T_dados[VALOR],T_dados[CATEGORIA],"Educação",T_dados[SUBCATEGORIA],$B46,T_dados[DATA],"&gt;="&amp;MAI_I,T_dados[DATA],"&lt;="&amp;MAI_F)</f>
        <v>0</v>
      </c>
      <c r="I46" s="36">
        <f>SUMIFS(T_dados[VALOR],T_dados[CATEGORIA],"Educação",T_dados[SUBCATEGORIA],$B46,T_dados[DATA],"&gt;="&amp;JUN_I,T_dados[DATA],"&lt;="&amp;JUN_F)</f>
        <v>0</v>
      </c>
      <c r="J46" s="36">
        <f>SUMIFS(T_dados[VALOR],T_dados[CATEGORIA],"Educação",T_dados[SUBCATEGORIA],$B46,T_dados[DATA],"&gt;="&amp;JUL_I,T_dados[DATA],"&lt;="&amp;JUL_F)</f>
        <v>0</v>
      </c>
      <c r="K46" s="36">
        <f>SUMIFS(T_dados[VALOR],T_dados[CATEGORIA],"Educação",T_dados[SUBCATEGORIA],$B46,T_dados[DATA],"&gt;="&amp;AGO_I,T_dados[DATA],"&lt;="&amp;AGO_F)</f>
        <v>0</v>
      </c>
      <c r="L46" s="36">
        <f>SUMIFS(T_dados[VALOR],T_dados[CATEGORIA],"Educação",T_dados[SUBCATEGORIA],$B46,T_dados[DATA],"&gt;="&amp;SET_I,T_dados[DATA],"&lt;="&amp;SET_F)</f>
        <v>0</v>
      </c>
      <c r="M46" s="36">
        <f>SUMIFS(T_dados[VALOR],T_dados[CATEGORIA],"Educação",T_dados[SUBCATEGORIA],$B46,T_dados[DATA],"&gt;="&amp;OUT_I,T_dados[DATA],"&lt;="&amp;OUT_F)</f>
        <v>0</v>
      </c>
      <c r="N46" s="36">
        <f>SUMIFS(T_dados[VALOR],T_dados[CATEGORIA],"Educação",T_dados[SUBCATEGORIA],$B46,T_dados[DATA],"&gt;="&amp;NOV_I,T_dados[DATA],"&lt;="&amp;NOV_F)</f>
        <v>0</v>
      </c>
      <c r="O46" s="36">
        <f>SUMIFS(T_dados[VALOR],T_dados[CATEGORIA],"Educação",T_dados[SUBCATEGORIA],$B46,T_dados[DATA],"&gt;="&amp;DEZ_I,T_dados[DATA],"&lt;="&amp;DEZ_F)</f>
        <v>0</v>
      </c>
      <c r="Q46" s="142"/>
      <c r="R46" s="145"/>
      <c r="T46" s="139"/>
    </row>
    <row r="47" spans="2:20" x14ac:dyDescent="0.25">
      <c r="B47" s="15" t="s">
        <v>20</v>
      </c>
      <c r="D47" s="36">
        <f>SUMIFS(T_dados[VALOR],T_dados[CATEGORIA],"Educação",T_dados[SUBCATEGORIA],$B47,T_dados[DATA],"&gt;="&amp;JAN_I,T_dados[DATA],"&lt;="&amp;JAN_F)</f>
        <v>0</v>
      </c>
      <c r="E47" s="36">
        <f>SUMIFS(T_dados[VALOR],T_dados[CATEGORIA],"Educação",T_dados[SUBCATEGORIA],$B47,T_dados[DATA],"&gt;="&amp;FEV_I,T_dados[DATA],"&lt;="&amp;FEV_F)</f>
        <v>0</v>
      </c>
      <c r="F47" s="36">
        <f>SUMIFS(T_dados[VALOR],T_dados[CATEGORIA],"Educação",T_dados[SUBCATEGORIA],$B47,T_dados[DATA],"&gt;="&amp;MAR_I,T_dados[DATA],"&lt;="&amp;MAR_F)</f>
        <v>0</v>
      </c>
      <c r="G47" s="36">
        <f>SUMIFS(T_dados[VALOR],T_dados[CATEGORIA],"Educação",T_dados[SUBCATEGORIA],$B47,T_dados[DATA],"&gt;="&amp;ABR_I,T_dados[DATA],"&lt;="&amp;ABR_F)</f>
        <v>0</v>
      </c>
      <c r="H47" s="36">
        <f>SUMIFS(T_dados[VALOR],T_dados[CATEGORIA],"Educação",T_dados[SUBCATEGORIA],$B47,T_dados[DATA],"&gt;="&amp;MAI_I,T_dados[DATA],"&lt;="&amp;MAI_F)</f>
        <v>0</v>
      </c>
      <c r="I47" s="36">
        <f>SUMIFS(T_dados[VALOR],T_dados[CATEGORIA],"Educação",T_dados[SUBCATEGORIA],$B47,T_dados[DATA],"&gt;="&amp;JUN_I,T_dados[DATA],"&lt;="&amp;JUN_F)</f>
        <v>0</v>
      </c>
      <c r="J47" s="36">
        <f>SUMIFS(T_dados[VALOR],T_dados[CATEGORIA],"Educação",T_dados[SUBCATEGORIA],$B47,T_dados[DATA],"&gt;="&amp;JUL_I,T_dados[DATA],"&lt;="&amp;JUL_F)</f>
        <v>0</v>
      </c>
      <c r="K47" s="36">
        <f>SUMIFS(T_dados[VALOR],T_dados[CATEGORIA],"Educação",T_dados[SUBCATEGORIA],$B47,T_dados[DATA],"&gt;="&amp;AGO_I,T_dados[DATA],"&lt;="&amp;AGO_F)</f>
        <v>0</v>
      </c>
      <c r="L47" s="36">
        <f>SUMIFS(T_dados[VALOR],T_dados[CATEGORIA],"Educação",T_dados[SUBCATEGORIA],$B47,T_dados[DATA],"&gt;="&amp;SET_I,T_dados[DATA],"&lt;="&amp;SET_F)</f>
        <v>0</v>
      </c>
      <c r="M47" s="36">
        <f>SUMIFS(T_dados[VALOR],T_dados[CATEGORIA],"Educação",T_dados[SUBCATEGORIA],$B47,T_dados[DATA],"&gt;="&amp;OUT_I,T_dados[DATA],"&lt;="&amp;OUT_F)</f>
        <v>0</v>
      </c>
      <c r="N47" s="36">
        <f>SUMIFS(T_dados[VALOR],T_dados[CATEGORIA],"Educação",T_dados[SUBCATEGORIA],$B47,T_dados[DATA],"&gt;="&amp;NOV_I,T_dados[DATA],"&lt;="&amp;NOV_F)</f>
        <v>0</v>
      </c>
      <c r="O47" s="36">
        <f>SUMIFS(T_dados[VALOR],T_dados[CATEGORIA],"Educação",T_dados[SUBCATEGORIA],$B47,T_dados[DATA],"&gt;="&amp;DEZ_I,T_dados[DATA],"&lt;="&amp;DEZ_F)</f>
        <v>0</v>
      </c>
      <c r="Q47" s="143"/>
      <c r="R47" s="146"/>
      <c r="T47" s="139"/>
    </row>
    <row r="48" spans="2:20" x14ac:dyDescent="0.25">
      <c r="B48" s="19" t="s">
        <v>69</v>
      </c>
      <c r="T48" s="139"/>
    </row>
    <row r="49" spans="2:20" x14ac:dyDescent="0.25">
      <c r="B49" s="16" t="s">
        <v>70</v>
      </c>
      <c r="D49" s="36">
        <f>SUMIFS(T_dados[VALOR],T_dados[CATEGORIA],"Lazer",T_dados[SUBCATEGORIA],$B49,T_dados[DATA],"&gt;="&amp;JAN_I,T_dados[DATA],"&lt;="&amp;JAN_F)</f>
        <v>0</v>
      </c>
      <c r="E49" s="36">
        <f>SUMIFS(T_dados[VALOR],T_dados[CATEGORIA],"Lazer",T_dados[SUBCATEGORIA],$B49,T_dados[DATA],"&gt;="&amp;FEV_I,T_dados[DATA],"&lt;="&amp;FEV_F)</f>
        <v>0</v>
      </c>
      <c r="F49" s="36">
        <f>SUMIFS(T_dados[VALOR],T_dados[CATEGORIA],"Lazer",T_dados[SUBCATEGORIA],$B49,T_dados[DATA],"&gt;="&amp;MAR_I,T_dados[DATA],"&lt;="&amp;MAR_F)</f>
        <v>0</v>
      </c>
      <c r="G49" s="36">
        <f>SUMIFS(T_dados[VALOR],T_dados[CATEGORIA],"Lazer",T_dados[SUBCATEGORIA],$B49,T_dados[DATA],"&gt;="&amp;ABR_I,T_dados[DATA],"&lt;="&amp;ABR_F)</f>
        <v>0</v>
      </c>
      <c r="H49" s="36">
        <f>SUMIFS(T_dados[VALOR],T_dados[CATEGORIA],"Lazer",T_dados[SUBCATEGORIA],$B49,T_dados[DATA],"&gt;="&amp;MAI_I,T_dados[DATA],"&lt;="&amp;MAI_F)</f>
        <v>0</v>
      </c>
      <c r="I49" s="36">
        <f>SUMIFS(T_dados[VALOR],T_dados[CATEGORIA],"Lazer",T_dados[SUBCATEGORIA],$B49,T_dados[DATA],"&gt;="&amp;JUN_I,T_dados[DATA],"&lt;="&amp;JUN_F)</f>
        <v>0</v>
      </c>
      <c r="J49" s="36">
        <f>SUMIFS(T_dados[VALOR],T_dados[CATEGORIA],"Lazer",T_dados[SUBCATEGORIA],$B49,T_dados[DATA],"&gt;="&amp;JUL_I,T_dados[DATA],"&lt;="&amp;JUL_F)</f>
        <v>0</v>
      </c>
      <c r="K49" s="36">
        <f>SUMIFS(T_dados[VALOR],T_dados[CATEGORIA],"Lazer",T_dados[SUBCATEGORIA],$B49,T_dados[DATA],"&gt;="&amp;AGO_I,T_dados[DATA],"&lt;="&amp;AGO_F)</f>
        <v>0</v>
      </c>
      <c r="L49" s="36">
        <f>SUMIFS(T_dados[VALOR],T_dados[CATEGORIA],"Lazer",T_dados[SUBCATEGORIA],$B49,T_dados[DATA],"&gt;="&amp;SET_I,T_dados[DATA],"&lt;="&amp;SET_F)</f>
        <v>0</v>
      </c>
      <c r="M49" s="36">
        <f>SUMIFS(T_dados[VALOR],T_dados[CATEGORIA],"Lazer",T_dados[SUBCATEGORIA],$B49,T_dados[DATA],"&gt;="&amp;OUT_I,T_dados[DATA],"&lt;="&amp;OUT_F)</f>
        <v>0</v>
      </c>
      <c r="N49" s="36">
        <f>SUMIFS(T_dados[VALOR],T_dados[CATEGORIA],"Lazer",T_dados[SUBCATEGORIA],$B49,T_dados[DATA],"&gt;="&amp;NOV_I,T_dados[DATA],"&lt;="&amp;NOV_F)</f>
        <v>0</v>
      </c>
      <c r="O49" s="36">
        <f>SUMIFS(T_dados[VALOR],T_dados[CATEGORIA],"Lazer",T_dados[SUBCATEGORIA],$B49,T_dados[DATA],"&gt;="&amp;DEZ_I,T_dados[DATA],"&lt;="&amp;DEZ_F)</f>
        <v>0</v>
      </c>
      <c r="Q49" s="141">
        <f>Orçamento!B45*12</f>
        <v>0</v>
      </c>
      <c r="R49" s="144">
        <f>SUM(D49:O52)</f>
        <v>0</v>
      </c>
      <c r="T49" s="139"/>
    </row>
    <row r="50" spans="2:20" x14ac:dyDescent="0.25">
      <c r="B50" s="17" t="s">
        <v>71</v>
      </c>
      <c r="D50" s="36">
        <f>SUMIFS(T_dados[VALOR],T_dados[CATEGORIA],"Lazer",T_dados[SUBCATEGORIA],$B50,T_dados[DATA],"&gt;="&amp;JAN_I,T_dados[DATA],"&lt;="&amp;JAN_F)</f>
        <v>0</v>
      </c>
      <c r="E50" s="36">
        <f>SUMIFS(T_dados[VALOR],T_dados[CATEGORIA],"Lazer",T_dados[SUBCATEGORIA],$B50,T_dados[DATA],"&gt;="&amp;FEV_I,T_dados[DATA],"&lt;="&amp;FEV_F)</f>
        <v>0</v>
      </c>
      <c r="F50" s="36">
        <f>SUMIFS(T_dados[VALOR],T_dados[CATEGORIA],"Lazer",T_dados[SUBCATEGORIA],$B50,T_dados[DATA],"&gt;="&amp;MAR_I,T_dados[DATA],"&lt;="&amp;MAR_F)</f>
        <v>0</v>
      </c>
      <c r="G50" s="36">
        <f>SUMIFS(T_dados[VALOR],T_dados[CATEGORIA],"Lazer",T_dados[SUBCATEGORIA],$B50,T_dados[DATA],"&gt;="&amp;ABR_I,T_dados[DATA],"&lt;="&amp;ABR_F)</f>
        <v>0</v>
      </c>
      <c r="H50" s="36">
        <f>SUMIFS(T_dados[VALOR],T_dados[CATEGORIA],"Lazer",T_dados[SUBCATEGORIA],$B50,T_dados[DATA],"&gt;="&amp;MAI_I,T_dados[DATA],"&lt;="&amp;MAI_F)</f>
        <v>0</v>
      </c>
      <c r="I50" s="36">
        <f>SUMIFS(T_dados[VALOR],T_dados[CATEGORIA],"Lazer",T_dados[SUBCATEGORIA],$B50,T_dados[DATA],"&gt;="&amp;JUN_I,T_dados[DATA],"&lt;="&amp;JUN_F)</f>
        <v>0</v>
      </c>
      <c r="J50" s="36">
        <f>SUMIFS(T_dados[VALOR],T_dados[CATEGORIA],"Lazer",T_dados[SUBCATEGORIA],$B50,T_dados[DATA],"&gt;="&amp;JUL_I,T_dados[DATA],"&lt;="&amp;JUL_F)</f>
        <v>0</v>
      </c>
      <c r="K50" s="36">
        <f>SUMIFS(T_dados[VALOR],T_dados[CATEGORIA],"Lazer",T_dados[SUBCATEGORIA],$B50,T_dados[DATA],"&gt;="&amp;AGO_I,T_dados[DATA],"&lt;="&amp;AGO_F)</f>
        <v>0</v>
      </c>
      <c r="L50" s="36">
        <f>SUMIFS(T_dados[VALOR],T_dados[CATEGORIA],"Lazer",T_dados[SUBCATEGORIA],$B50,T_dados[DATA],"&gt;="&amp;SET_I,T_dados[DATA],"&lt;="&amp;SET_F)</f>
        <v>0</v>
      </c>
      <c r="M50" s="36">
        <f>SUMIFS(T_dados[VALOR],T_dados[CATEGORIA],"Lazer",T_dados[SUBCATEGORIA],$B50,T_dados[DATA],"&gt;="&amp;OUT_I,T_dados[DATA],"&lt;="&amp;OUT_F)</f>
        <v>0</v>
      </c>
      <c r="N50" s="36">
        <f>SUMIFS(T_dados[VALOR],T_dados[CATEGORIA],"Lazer",T_dados[SUBCATEGORIA],$B50,T_dados[DATA],"&gt;="&amp;NOV_I,T_dados[DATA],"&lt;="&amp;NOV_F)</f>
        <v>0</v>
      </c>
      <c r="O50" s="36">
        <f>SUMIFS(T_dados[VALOR],T_dados[CATEGORIA],"Lazer",T_dados[SUBCATEGORIA],$B50,T_dados[DATA],"&gt;="&amp;DEZ_I,T_dados[DATA],"&lt;="&amp;DEZ_F)</f>
        <v>0</v>
      </c>
      <c r="Q50" s="142"/>
      <c r="R50" s="145"/>
      <c r="T50" s="139"/>
    </row>
    <row r="51" spans="2:20" x14ac:dyDescent="0.25">
      <c r="B51" s="17" t="s">
        <v>17</v>
      </c>
      <c r="D51" s="36">
        <f>SUMIFS(T_dados[VALOR],T_dados[CATEGORIA],"Lazer",T_dados[SUBCATEGORIA],$B51,T_dados[DATA],"&gt;="&amp;JAN_I,T_dados[DATA],"&lt;="&amp;JAN_F)</f>
        <v>0</v>
      </c>
      <c r="E51" s="36">
        <f>SUMIFS(T_dados[VALOR],T_dados[CATEGORIA],"Lazer",T_dados[SUBCATEGORIA],$B51,T_dados[DATA],"&gt;="&amp;FEV_I,T_dados[DATA],"&lt;="&amp;FEV_F)</f>
        <v>0</v>
      </c>
      <c r="F51" s="36">
        <f>SUMIFS(T_dados[VALOR],T_dados[CATEGORIA],"Lazer",T_dados[SUBCATEGORIA],$B51,T_dados[DATA],"&gt;="&amp;MAR_I,T_dados[DATA],"&lt;="&amp;MAR_F)</f>
        <v>0</v>
      </c>
      <c r="G51" s="36">
        <f>SUMIFS(T_dados[VALOR],T_dados[CATEGORIA],"Lazer",T_dados[SUBCATEGORIA],$B51,T_dados[DATA],"&gt;="&amp;ABR_I,T_dados[DATA],"&lt;="&amp;ABR_F)</f>
        <v>0</v>
      </c>
      <c r="H51" s="36">
        <f>SUMIFS(T_dados[VALOR],T_dados[CATEGORIA],"Lazer",T_dados[SUBCATEGORIA],$B51,T_dados[DATA],"&gt;="&amp;MAI_I,T_dados[DATA],"&lt;="&amp;MAI_F)</f>
        <v>0</v>
      </c>
      <c r="I51" s="36">
        <f>SUMIFS(T_dados[VALOR],T_dados[CATEGORIA],"Lazer",T_dados[SUBCATEGORIA],$B51,T_dados[DATA],"&gt;="&amp;JUN_I,T_dados[DATA],"&lt;="&amp;JUN_F)</f>
        <v>0</v>
      </c>
      <c r="J51" s="36">
        <f>SUMIFS(T_dados[VALOR],T_dados[CATEGORIA],"Lazer",T_dados[SUBCATEGORIA],$B51,T_dados[DATA],"&gt;="&amp;JUL_I,T_dados[DATA],"&lt;="&amp;JUL_F)</f>
        <v>0</v>
      </c>
      <c r="K51" s="36">
        <f>SUMIFS(T_dados[VALOR],T_dados[CATEGORIA],"Lazer",T_dados[SUBCATEGORIA],$B51,T_dados[DATA],"&gt;="&amp;AGO_I,T_dados[DATA],"&lt;="&amp;AGO_F)</f>
        <v>0</v>
      </c>
      <c r="L51" s="36">
        <f>SUMIFS(T_dados[VALOR],T_dados[CATEGORIA],"Lazer",T_dados[SUBCATEGORIA],$B51,T_dados[DATA],"&gt;="&amp;SET_I,T_dados[DATA],"&lt;="&amp;SET_F)</f>
        <v>0</v>
      </c>
      <c r="M51" s="36">
        <f>SUMIFS(T_dados[VALOR],T_dados[CATEGORIA],"Lazer",T_dados[SUBCATEGORIA],$B51,T_dados[DATA],"&gt;="&amp;OUT_I,T_dados[DATA],"&lt;="&amp;OUT_F)</f>
        <v>0</v>
      </c>
      <c r="N51" s="36">
        <f>SUMIFS(T_dados[VALOR],T_dados[CATEGORIA],"Lazer",T_dados[SUBCATEGORIA],$B51,T_dados[DATA],"&gt;="&amp;NOV_I,T_dados[DATA],"&lt;="&amp;NOV_F)</f>
        <v>0</v>
      </c>
      <c r="O51" s="36">
        <f>SUMIFS(T_dados[VALOR],T_dados[CATEGORIA],"Lazer",T_dados[SUBCATEGORIA],$B51,T_dados[DATA],"&gt;="&amp;DEZ_I,T_dados[DATA],"&lt;="&amp;DEZ_F)</f>
        <v>0</v>
      </c>
      <c r="Q51" s="142"/>
      <c r="R51" s="145"/>
      <c r="T51" s="139"/>
    </row>
    <row r="52" spans="2:20" x14ac:dyDescent="0.25">
      <c r="B52" s="15" t="s">
        <v>20</v>
      </c>
      <c r="D52" s="36">
        <f>SUMIFS(T_dados[VALOR],T_dados[CATEGORIA],"Lazer",T_dados[SUBCATEGORIA],$B52,T_dados[DATA],"&gt;="&amp;JAN_I,T_dados[DATA],"&lt;="&amp;JAN_F)</f>
        <v>0</v>
      </c>
      <c r="E52" s="36">
        <f>SUMIFS(T_dados[VALOR],T_dados[CATEGORIA],"Lazer",T_dados[SUBCATEGORIA],$B52,T_dados[DATA],"&gt;="&amp;FEV_I,T_dados[DATA],"&lt;="&amp;FEV_F)</f>
        <v>0</v>
      </c>
      <c r="F52" s="36">
        <f>SUMIFS(T_dados[VALOR],T_dados[CATEGORIA],"Lazer",T_dados[SUBCATEGORIA],$B52,T_dados[DATA],"&gt;="&amp;MAR_I,T_dados[DATA],"&lt;="&amp;MAR_F)</f>
        <v>0</v>
      </c>
      <c r="G52" s="36">
        <f>SUMIFS(T_dados[VALOR],T_dados[CATEGORIA],"Lazer",T_dados[SUBCATEGORIA],$B52,T_dados[DATA],"&gt;="&amp;ABR_I,T_dados[DATA],"&lt;="&amp;ABR_F)</f>
        <v>0</v>
      </c>
      <c r="H52" s="36">
        <f>SUMIFS(T_dados[VALOR],T_dados[CATEGORIA],"Lazer",T_dados[SUBCATEGORIA],$B52,T_dados[DATA],"&gt;="&amp;MAI_I,T_dados[DATA],"&lt;="&amp;MAI_F)</f>
        <v>0</v>
      </c>
      <c r="I52" s="36">
        <f>SUMIFS(T_dados[VALOR],T_dados[CATEGORIA],"Lazer",T_dados[SUBCATEGORIA],$B52,T_dados[DATA],"&gt;="&amp;JUN_I,T_dados[DATA],"&lt;="&amp;JUN_F)</f>
        <v>0</v>
      </c>
      <c r="J52" s="36">
        <f>SUMIFS(T_dados[VALOR],T_dados[CATEGORIA],"Lazer",T_dados[SUBCATEGORIA],$B52,T_dados[DATA],"&gt;="&amp;JUL_I,T_dados[DATA],"&lt;="&amp;JUL_F)</f>
        <v>0</v>
      </c>
      <c r="K52" s="36">
        <f>SUMIFS(T_dados[VALOR],T_dados[CATEGORIA],"Lazer",T_dados[SUBCATEGORIA],$B52,T_dados[DATA],"&gt;="&amp;AGO_I,T_dados[DATA],"&lt;="&amp;AGO_F)</f>
        <v>0</v>
      </c>
      <c r="L52" s="36">
        <f>SUMIFS(T_dados[VALOR],T_dados[CATEGORIA],"Lazer",T_dados[SUBCATEGORIA],$B52,T_dados[DATA],"&gt;="&amp;SET_I,T_dados[DATA],"&lt;="&amp;SET_F)</f>
        <v>0</v>
      </c>
      <c r="M52" s="36">
        <f>SUMIFS(T_dados[VALOR],T_dados[CATEGORIA],"Lazer",T_dados[SUBCATEGORIA],$B52,T_dados[DATA],"&gt;="&amp;OUT_I,T_dados[DATA],"&lt;="&amp;OUT_F)</f>
        <v>0</v>
      </c>
      <c r="N52" s="36">
        <f>SUMIFS(T_dados[VALOR],T_dados[CATEGORIA],"Lazer",T_dados[SUBCATEGORIA],$B52,T_dados[DATA],"&gt;="&amp;NOV_I,T_dados[DATA],"&lt;="&amp;NOV_F)</f>
        <v>0</v>
      </c>
      <c r="O52" s="36">
        <f>SUMIFS(T_dados[VALOR],T_dados[CATEGORIA],"Lazer",T_dados[SUBCATEGORIA],$B52,T_dados[DATA],"&gt;="&amp;DEZ_I,T_dados[DATA],"&lt;="&amp;DEZ_F)</f>
        <v>0</v>
      </c>
      <c r="Q52" s="143"/>
      <c r="R52" s="146"/>
      <c r="T52" s="139"/>
    </row>
    <row r="53" spans="2:20" x14ac:dyDescent="0.25">
      <c r="B53" s="19" t="s">
        <v>72</v>
      </c>
      <c r="T53" s="139"/>
    </row>
    <row r="54" spans="2:20" x14ac:dyDescent="0.25">
      <c r="B54" s="16" t="s">
        <v>73</v>
      </c>
      <c r="D54" s="36">
        <f>SUMIFS(T_dados[VALOR],T_dados[CATEGORIA],"Diversos",T_dados[SUBCATEGORIA],$B54,T_dados[DATA],"&gt;="&amp;JAN_I,T_dados[DATA],"&lt;="&amp;JAN_F)</f>
        <v>0</v>
      </c>
      <c r="E54" s="36">
        <f>SUMIFS(T_dados[VALOR],T_dados[CATEGORIA],"Diversos",T_dados[SUBCATEGORIA],$B54,T_dados[DATA],"&gt;="&amp;FEV_I,T_dados[DATA],"&lt;="&amp;FEV_F)</f>
        <v>0</v>
      </c>
      <c r="F54" s="36">
        <f>SUMIFS(T_dados[VALOR],T_dados[CATEGORIA],"Diversos",T_dados[SUBCATEGORIA],$B54,T_dados[DATA],"&gt;="&amp;MAR_I,T_dados[DATA],"&lt;="&amp;MAR_F)</f>
        <v>0</v>
      </c>
      <c r="G54" s="36">
        <f>SUMIFS(T_dados[VALOR],T_dados[CATEGORIA],"Diversos",T_dados[SUBCATEGORIA],$B54,T_dados[DATA],"&gt;="&amp;ABR_I,T_dados[DATA],"&lt;="&amp;ABR_F)</f>
        <v>0</v>
      </c>
      <c r="H54" s="36">
        <f>SUMIFS(T_dados[VALOR],T_dados[CATEGORIA],"Diversos",T_dados[SUBCATEGORIA],$B54,T_dados[DATA],"&gt;="&amp;MAI_I,T_dados[DATA],"&lt;="&amp;MAI_F)</f>
        <v>0</v>
      </c>
      <c r="I54" s="36">
        <f>SUMIFS(T_dados[VALOR],T_dados[CATEGORIA],"Diversos",T_dados[SUBCATEGORIA],$B54,T_dados[DATA],"&gt;="&amp;JUN_I,T_dados[DATA],"&lt;="&amp;JUN_F)</f>
        <v>0</v>
      </c>
      <c r="J54" s="36">
        <f>SUMIFS(T_dados[VALOR],T_dados[CATEGORIA],"Diversos",T_dados[SUBCATEGORIA],$B54,T_dados[DATA],"&gt;="&amp;JUL_I,T_dados[DATA],"&lt;="&amp;JUL_F)</f>
        <v>0</v>
      </c>
      <c r="K54" s="36">
        <f>SUMIFS(T_dados[VALOR],T_dados[CATEGORIA],"Diversos",T_dados[SUBCATEGORIA],$B54,T_dados[DATA],"&gt;="&amp;AGO_I,T_dados[DATA],"&lt;="&amp;AGO_F)</f>
        <v>0</v>
      </c>
      <c r="L54" s="36">
        <f>SUMIFS(T_dados[VALOR],T_dados[CATEGORIA],"Diversos",T_dados[SUBCATEGORIA],$B54,T_dados[DATA],"&gt;="&amp;SET_I,T_dados[DATA],"&lt;="&amp;SET_F)</f>
        <v>0</v>
      </c>
      <c r="M54" s="36">
        <f>SUMIFS(T_dados[VALOR],T_dados[CATEGORIA],"Diversos",T_dados[SUBCATEGORIA],$B54,T_dados[DATA],"&gt;="&amp;OUT_I,T_dados[DATA],"&lt;="&amp;OUT_F)</f>
        <v>0</v>
      </c>
      <c r="N54" s="36">
        <f>SUMIFS(T_dados[VALOR],T_dados[CATEGORIA],"Diversos",T_dados[SUBCATEGORIA],$B54,T_dados[DATA],"&gt;="&amp;NOV_I,T_dados[DATA],"&lt;="&amp;NOV_F)</f>
        <v>0</v>
      </c>
      <c r="O54" s="36">
        <f>SUMIFS(T_dados[VALOR],T_dados[CATEGORIA],"Diversos",T_dados[SUBCATEGORIA],$B54,T_dados[DATA],"&gt;="&amp;DEZ_I,T_dados[DATA],"&lt;="&amp;DEZ_F)</f>
        <v>0</v>
      </c>
      <c r="Q54" s="141">
        <f>Orçamento!B46*12</f>
        <v>0</v>
      </c>
      <c r="R54" s="144">
        <f>SUM(D54:O57)</f>
        <v>0</v>
      </c>
      <c r="T54" s="139"/>
    </row>
    <row r="55" spans="2:20" x14ac:dyDescent="0.25">
      <c r="B55" s="17" t="s">
        <v>74</v>
      </c>
      <c r="D55" s="36">
        <f>SUMIFS(T_dados[VALOR],T_dados[CATEGORIA],"Diversos",T_dados[SUBCATEGORIA],$B55,T_dados[DATA],"&gt;="&amp;JAN_I,T_dados[DATA],"&lt;="&amp;JAN_F)</f>
        <v>0</v>
      </c>
      <c r="E55" s="36">
        <f>SUMIFS(T_dados[VALOR],T_dados[CATEGORIA],"Diversos",T_dados[SUBCATEGORIA],$B55,T_dados[DATA],"&gt;="&amp;FEV_I,T_dados[DATA],"&lt;="&amp;FEV_F)</f>
        <v>0</v>
      </c>
      <c r="F55" s="36">
        <f>SUMIFS(T_dados[VALOR],T_dados[CATEGORIA],"Diversos",T_dados[SUBCATEGORIA],$B55,T_dados[DATA],"&gt;="&amp;MAR_I,T_dados[DATA],"&lt;="&amp;MAR_F)</f>
        <v>0</v>
      </c>
      <c r="G55" s="36">
        <f>SUMIFS(T_dados[VALOR],T_dados[CATEGORIA],"Diversos",T_dados[SUBCATEGORIA],$B55,T_dados[DATA],"&gt;="&amp;ABR_I,T_dados[DATA],"&lt;="&amp;ABR_F)</f>
        <v>0</v>
      </c>
      <c r="H55" s="36">
        <f>SUMIFS(T_dados[VALOR],T_dados[CATEGORIA],"Diversos",T_dados[SUBCATEGORIA],$B55,T_dados[DATA],"&gt;="&amp;MAI_I,T_dados[DATA],"&lt;="&amp;MAI_F)</f>
        <v>0</v>
      </c>
      <c r="I55" s="36">
        <f>SUMIFS(T_dados[VALOR],T_dados[CATEGORIA],"Diversos",T_dados[SUBCATEGORIA],$B55,T_dados[DATA],"&gt;="&amp;JUN_I,T_dados[DATA],"&lt;="&amp;JUN_F)</f>
        <v>0</v>
      </c>
      <c r="J55" s="36">
        <f>SUMIFS(T_dados[VALOR],T_dados[CATEGORIA],"Diversos",T_dados[SUBCATEGORIA],$B55,T_dados[DATA],"&gt;="&amp;JUL_I,T_dados[DATA],"&lt;="&amp;JUL_F)</f>
        <v>0</v>
      </c>
      <c r="K55" s="36">
        <f>SUMIFS(T_dados[VALOR],T_dados[CATEGORIA],"Diversos",T_dados[SUBCATEGORIA],$B55,T_dados[DATA],"&gt;="&amp;AGO_I,T_dados[DATA],"&lt;="&amp;AGO_F)</f>
        <v>0</v>
      </c>
      <c r="L55" s="36">
        <f>SUMIFS(T_dados[VALOR],T_dados[CATEGORIA],"Diversos",T_dados[SUBCATEGORIA],$B55,T_dados[DATA],"&gt;="&amp;SET_I,T_dados[DATA],"&lt;="&amp;SET_F)</f>
        <v>0</v>
      </c>
      <c r="M55" s="36">
        <f>SUMIFS(T_dados[VALOR],T_dados[CATEGORIA],"Diversos",T_dados[SUBCATEGORIA],$B55,T_dados[DATA],"&gt;="&amp;OUT_I,T_dados[DATA],"&lt;="&amp;OUT_F)</f>
        <v>0</v>
      </c>
      <c r="N55" s="36">
        <f>SUMIFS(T_dados[VALOR],T_dados[CATEGORIA],"Diversos",T_dados[SUBCATEGORIA],$B55,T_dados[DATA],"&gt;="&amp;NOV_I,T_dados[DATA],"&lt;="&amp;NOV_F)</f>
        <v>0</v>
      </c>
      <c r="O55" s="36">
        <f>SUMIFS(T_dados[VALOR],T_dados[CATEGORIA],"Diversos",T_dados[SUBCATEGORIA],$B55,T_dados[DATA],"&gt;="&amp;DEZ_I,T_dados[DATA],"&lt;="&amp;DEZ_F)</f>
        <v>0</v>
      </c>
      <c r="Q55" s="142"/>
      <c r="R55" s="145"/>
      <c r="T55" s="139"/>
    </row>
    <row r="56" spans="2:20" x14ac:dyDescent="0.25">
      <c r="B56" s="17" t="s">
        <v>13</v>
      </c>
      <c r="D56" s="36">
        <f>SUMIFS(T_dados[VALOR],T_dados[CATEGORIA],"Diversos",T_dados[SUBCATEGORIA],$B56,T_dados[DATA],"&gt;="&amp;JAN_I,T_dados[DATA],"&lt;="&amp;JAN_F)</f>
        <v>0</v>
      </c>
      <c r="E56" s="36">
        <f>SUMIFS(T_dados[VALOR],T_dados[CATEGORIA],"Diversos",T_dados[SUBCATEGORIA],$B56,T_dados[DATA],"&gt;="&amp;FEV_I,T_dados[DATA],"&lt;="&amp;FEV_F)</f>
        <v>0</v>
      </c>
      <c r="F56" s="36">
        <f>SUMIFS(T_dados[VALOR],T_dados[CATEGORIA],"Diversos",T_dados[SUBCATEGORIA],$B56,T_dados[DATA],"&gt;="&amp;MAR_I,T_dados[DATA],"&lt;="&amp;MAR_F)</f>
        <v>0</v>
      </c>
      <c r="G56" s="36">
        <f>SUMIFS(T_dados[VALOR],T_dados[CATEGORIA],"Diversos",T_dados[SUBCATEGORIA],$B56,T_dados[DATA],"&gt;="&amp;ABR_I,T_dados[DATA],"&lt;="&amp;ABR_F)</f>
        <v>0</v>
      </c>
      <c r="H56" s="36">
        <f>SUMIFS(T_dados[VALOR],T_dados[CATEGORIA],"Diversos",T_dados[SUBCATEGORIA],$B56,T_dados[DATA],"&gt;="&amp;MAI_I,T_dados[DATA],"&lt;="&amp;MAI_F)</f>
        <v>0</v>
      </c>
      <c r="I56" s="36">
        <f>SUMIFS(T_dados[VALOR],T_dados[CATEGORIA],"Diversos",T_dados[SUBCATEGORIA],$B56,T_dados[DATA],"&gt;="&amp;JUN_I,T_dados[DATA],"&lt;="&amp;JUN_F)</f>
        <v>0</v>
      </c>
      <c r="J56" s="36">
        <f>SUMIFS(T_dados[VALOR],T_dados[CATEGORIA],"Diversos",T_dados[SUBCATEGORIA],$B56,T_dados[DATA],"&gt;="&amp;JUL_I,T_dados[DATA],"&lt;="&amp;JUL_F)</f>
        <v>0</v>
      </c>
      <c r="K56" s="36">
        <f>SUMIFS(T_dados[VALOR],T_dados[CATEGORIA],"Diversos",T_dados[SUBCATEGORIA],$B56,T_dados[DATA],"&gt;="&amp;AGO_I,T_dados[DATA],"&lt;="&amp;AGO_F)</f>
        <v>0</v>
      </c>
      <c r="L56" s="36">
        <f>SUMIFS(T_dados[VALOR],T_dados[CATEGORIA],"Diversos",T_dados[SUBCATEGORIA],$B56,T_dados[DATA],"&gt;="&amp;SET_I,T_dados[DATA],"&lt;="&amp;SET_F)</f>
        <v>0</v>
      </c>
      <c r="M56" s="36">
        <f>SUMIFS(T_dados[VALOR],T_dados[CATEGORIA],"Diversos",T_dados[SUBCATEGORIA],$B56,T_dados[DATA],"&gt;="&amp;OUT_I,T_dados[DATA],"&lt;="&amp;OUT_F)</f>
        <v>0</v>
      </c>
      <c r="N56" s="36">
        <f>SUMIFS(T_dados[VALOR],T_dados[CATEGORIA],"Diversos",T_dados[SUBCATEGORIA],$B56,T_dados[DATA],"&gt;="&amp;NOV_I,T_dados[DATA],"&lt;="&amp;NOV_F)</f>
        <v>0</v>
      </c>
      <c r="O56" s="36">
        <f>SUMIFS(T_dados[VALOR],T_dados[CATEGORIA],"Diversos",T_dados[SUBCATEGORIA],$B56,T_dados[DATA],"&gt;="&amp;DEZ_I,T_dados[DATA],"&lt;="&amp;DEZ_F)</f>
        <v>0</v>
      </c>
      <c r="Q56" s="142"/>
      <c r="R56" s="145"/>
      <c r="T56" s="139"/>
    </row>
    <row r="57" spans="2:20" x14ac:dyDescent="0.25">
      <c r="B57" s="15" t="s">
        <v>20</v>
      </c>
      <c r="D57" s="36">
        <f>SUMIFS(T_dados[VALOR],T_dados[CATEGORIA],"Diversos",T_dados[SUBCATEGORIA],$B57,T_dados[DATA],"&gt;="&amp;JAN_I,T_dados[DATA],"&lt;="&amp;JAN_F)</f>
        <v>0</v>
      </c>
      <c r="E57" s="36">
        <f>SUMIFS(T_dados[VALOR],T_dados[CATEGORIA],"Diversos",T_dados[SUBCATEGORIA],$B57,T_dados[DATA],"&gt;="&amp;FEV_I,T_dados[DATA],"&lt;="&amp;FEV_F)</f>
        <v>0</v>
      </c>
      <c r="F57" s="36">
        <f>SUMIFS(T_dados[VALOR],T_dados[CATEGORIA],"Diversos",T_dados[SUBCATEGORIA],$B57,T_dados[DATA],"&gt;="&amp;MAR_I,T_dados[DATA],"&lt;="&amp;MAR_F)</f>
        <v>0</v>
      </c>
      <c r="G57" s="36">
        <f>SUMIFS(T_dados[VALOR],T_dados[CATEGORIA],"Diversos",T_dados[SUBCATEGORIA],$B57,T_dados[DATA],"&gt;="&amp;ABR_I,T_dados[DATA],"&lt;="&amp;ABR_F)</f>
        <v>0</v>
      </c>
      <c r="H57" s="36">
        <f>SUMIFS(T_dados[VALOR],T_dados[CATEGORIA],"Diversos",T_dados[SUBCATEGORIA],$B57,T_dados[DATA],"&gt;="&amp;MAI_I,T_dados[DATA],"&lt;="&amp;MAI_F)</f>
        <v>0</v>
      </c>
      <c r="I57" s="36">
        <f>SUMIFS(T_dados[VALOR],T_dados[CATEGORIA],"Diversos",T_dados[SUBCATEGORIA],$B57,T_dados[DATA],"&gt;="&amp;JUN_I,T_dados[DATA],"&lt;="&amp;JUN_F)</f>
        <v>0</v>
      </c>
      <c r="J57" s="36">
        <f>SUMIFS(T_dados[VALOR],T_dados[CATEGORIA],"Diversos",T_dados[SUBCATEGORIA],$B57,T_dados[DATA],"&gt;="&amp;JUL_I,T_dados[DATA],"&lt;="&amp;JUL_F)</f>
        <v>0</v>
      </c>
      <c r="K57" s="36">
        <f>SUMIFS(T_dados[VALOR],T_dados[CATEGORIA],"Diversos",T_dados[SUBCATEGORIA],$B57,T_dados[DATA],"&gt;="&amp;AGO_I,T_dados[DATA],"&lt;="&amp;AGO_F)</f>
        <v>0</v>
      </c>
      <c r="L57" s="36">
        <f>SUMIFS(T_dados[VALOR],T_dados[CATEGORIA],"Diversos",T_dados[SUBCATEGORIA],$B57,T_dados[DATA],"&gt;="&amp;SET_I,T_dados[DATA],"&lt;="&amp;SET_F)</f>
        <v>0</v>
      </c>
      <c r="M57" s="36">
        <f>SUMIFS(T_dados[VALOR],T_dados[CATEGORIA],"Diversos",T_dados[SUBCATEGORIA],$B57,T_dados[DATA],"&gt;="&amp;OUT_I,T_dados[DATA],"&lt;="&amp;OUT_F)</f>
        <v>0</v>
      </c>
      <c r="N57" s="36">
        <f>SUMIFS(T_dados[VALOR],T_dados[CATEGORIA],"Diversos",T_dados[SUBCATEGORIA],$B57,T_dados[DATA],"&gt;="&amp;NOV_I,T_dados[DATA],"&lt;="&amp;NOV_F)</f>
        <v>0</v>
      </c>
      <c r="O57" s="36">
        <f>SUMIFS(T_dados[VALOR],T_dados[CATEGORIA],"Diversos",T_dados[SUBCATEGORIA],$B57,T_dados[DATA],"&gt;="&amp;DEZ_I,T_dados[DATA],"&lt;="&amp;DEZ_F)</f>
        <v>0</v>
      </c>
      <c r="Q57" s="143"/>
      <c r="R57" s="146"/>
      <c r="T57" s="139"/>
    </row>
    <row r="58" spans="2:20" x14ac:dyDescent="0.25">
      <c r="B58" s="19" t="s">
        <v>75</v>
      </c>
      <c r="T58" s="139"/>
    </row>
    <row r="59" spans="2:20" x14ac:dyDescent="0.25">
      <c r="B59" s="16" t="s">
        <v>76</v>
      </c>
      <c r="D59" s="36">
        <f>SUMIFS(T_dados[VALOR],T_dados[CATEGORIA],"Taxas",T_dados[SUBCATEGORIA],$B59,T_dados[DATA],"&gt;="&amp;JAN_I,T_dados[DATA],"&lt;="&amp;JAN_F)</f>
        <v>0</v>
      </c>
      <c r="E59" s="36">
        <f>SUMIFS(T_dados[VALOR],T_dados[CATEGORIA],"Taxas",T_dados[SUBCATEGORIA],$B59,T_dados[DATA],"&gt;="&amp;FEV_I,T_dados[DATA],"&lt;="&amp;FEV_F)</f>
        <v>0</v>
      </c>
      <c r="F59" s="36">
        <f>SUMIFS(T_dados[VALOR],T_dados[CATEGORIA],"Taxas",T_dados[SUBCATEGORIA],$B59,T_dados[DATA],"&gt;="&amp;MAR_I,T_dados[DATA],"&lt;="&amp;MAR_F)</f>
        <v>0</v>
      </c>
      <c r="G59" s="36">
        <f>SUMIFS(T_dados[VALOR],T_dados[CATEGORIA],"Taxas",T_dados[SUBCATEGORIA],$B59,T_dados[DATA],"&gt;="&amp;ABR_I,T_dados[DATA],"&lt;="&amp;ABR_F)</f>
        <v>0</v>
      </c>
      <c r="H59" s="36">
        <f>SUMIFS(T_dados[VALOR],T_dados[CATEGORIA],"Taxas",T_dados[SUBCATEGORIA],$B59,T_dados[DATA],"&gt;="&amp;MAI_I,T_dados[DATA],"&lt;="&amp;MAI_F)</f>
        <v>0</v>
      </c>
      <c r="I59" s="36">
        <f>SUMIFS(T_dados[VALOR],T_dados[CATEGORIA],"Taxas",T_dados[SUBCATEGORIA],$B59,T_dados[DATA],"&gt;="&amp;JUN_I,T_dados[DATA],"&lt;="&amp;JUN_F)</f>
        <v>0</v>
      </c>
      <c r="J59" s="36">
        <f>SUMIFS(T_dados[VALOR],T_dados[CATEGORIA],"Taxas",T_dados[SUBCATEGORIA],$B59,T_dados[DATA],"&gt;="&amp;JUL_I,T_dados[DATA],"&lt;="&amp;JUL_F)</f>
        <v>0</v>
      </c>
      <c r="K59" s="36">
        <f>SUMIFS(T_dados[VALOR],T_dados[CATEGORIA],"Taxas",T_dados[SUBCATEGORIA],$B59,T_dados[DATA],"&gt;="&amp;AGO_I,T_dados[DATA],"&lt;="&amp;AGO_F)</f>
        <v>0</v>
      </c>
      <c r="L59" s="36">
        <f>SUMIFS(T_dados[VALOR],T_dados[CATEGORIA],"Taxas",T_dados[SUBCATEGORIA],$B59,T_dados[DATA],"&gt;="&amp;SET_I,T_dados[DATA],"&lt;="&amp;SET_F)</f>
        <v>0</v>
      </c>
      <c r="M59" s="36">
        <f>SUMIFS(T_dados[VALOR],T_dados[CATEGORIA],"Taxas",T_dados[SUBCATEGORIA],$B59,T_dados[DATA],"&gt;="&amp;OUT_I,T_dados[DATA],"&lt;="&amp;OUT_F)</f>
        <v>0</v>
      </c>
      <c r="N59" s="36">
        <f>SUMIFS(T_dados[VALOR],T_dados[CATEGORIA],"Taxas",T_dados[SUBCATEGORIA],$B59,T_dados[DATA],"&gt;="&amp;NOV_I,T_dados[DATA],"&lt;="&amp;NOV_F)</f>
        <v>0</v>
      </c>
      <c r="O59" s="36">
        <f>SUMIFS(T_dados[VALOR],T_dados[CATEGORIA],"Taxas",T_dados[SUBCATEGORIA],$B59,T_dados[DATA],"&gt;="&amp;DEZ_I,T_dados[DATA],"&lt;="&amp;DEZ_F)</f>
        <v>0</v>
      </c>
      <c r="Q59" s="141">
        <f>Orçamento!B47*12</f>
        <v>0</v>
      </c>
      <c r="R59" s="144">
        <f>SUM(D59:O63)</f>
        <v>0</v>
      </c>
      <c r="T59" s="139"/>
    </row>
    <row r="60" spans="2:20" x14ac:dyDescent="0.25">
      <c r="B60" s="17" t="s">
        <v>77</v>
      </c>
      <c r="D60" s="36">
        <f>SUMIFS(T_dados[VALOR],T_dados[CATEGORIA],"Taxas",T_dados[SUBCATEGORIA],$B60,T_dados[DATA],"&gt;="&amp;JAN_I,T_dados[DATA],"&lt;="&amp;JAN_F)</f>
        <v>0</v>
      </c>
      <c r="E60" s="36">
        <f>SUMIFS(T_dados[VALOR],T_dados[CATEGORIA],"Taxas",T_dados[SUBCATEGORIA],$B60,T_dados[DATA],"&gt;="&amp;FEV_I,T_dados[DATA],"&lt;="&amp;FEV_F)</f>
        <v>0</v>
      </c>
      <c r="F60" s="36">
        <f>SUMIFS(T_dados[VALOR],T_dados[CATEGORIA],"Taxas",T_dados[SUBCATEGORIA],$B60,T_dados[DATA],"&gt;="&amp;MAR_I,T_dados[DATA],"&lt;="&amp;MAR_F)</f>
        <v>0</v>
      </c>
      <c r="G60" s="36">
        <f>SUMIFS(T_dados[VALOR],T_dados[CATEGORIA],"Taxas",T_dados[SUBCATEGORIA],$B60,T_dados[DATA],"&gt;="&amp;ABR_I,T_dados[DATA],"&lt;="&amp;ABR_F)</f>
        <v>0</v>
      </c>
      <c r="H60" s="36">
        <f>SUMIFS(T_dados[VALOR],T_dados[CATEGORIA],"Taxas",T_dados[SUBCATEGORIA],$B60,T_dados[DATA],"&gt;="&amp;MAI_I,T_dados[DATA],"&lt;="&amp;MAI_F)</f>
        <v>0</v>
      </c>
      <c r="I60" s="36">
        <f>SUMIFS(T_dados[VALOR],T_dados[CATEGORIA],"Taxas",T_dados[SUBCATEGORIA],$B60,T_dados[DATA],"&gt;="&amp;JUN_I,T_dados[DATA],"&lt;="&amp;JUN_F)</f>
        <v>0</v>
      </c>
      <c r="J60" s="36">
        <f>SUMIFS(T_dados[VALOR],T_dados[CATEGORIA],"Taxas",T_dados[SUBCATEGORIA],$B60,T_dados[DATA],"&gt;="&amp;JUL_I,T_dados[DATA],"&lt;="&amp;JUL_F)</f>
        <v>0</v>
      </c>
      <c r="K60" s="36">
        <f>SUMIFS(T_dados[VALOR],T_dados[CATEGORIA],"Taxas",T_dados[SUBCATEGORIA],$B60,T_dados[DATA],"&gt;="&amp;AGO_I,T_dados[DATA],"&lt;="&amp;AGO_F)</f>
        <v>0</v>
      </c>
      <c r="L60" s="36">
        <f>SUMIFS(T_dados[VALOR],T_dados[CATEGORIA],"Taxas",T_dados[SUBCATEGORIA],$B60,T_dados[DATA],"&gt;="&amp;SET_I,T_dados[DATA],"&lt;="&amp;SET_F)</f>
        <v>0</v>
      </c>
      <c r="M60" s="36">
        <f>SUMIFS(T_dados[VALOR],T_dados[CATEGORIA],"Taxas",T_dados[SUBCATEGORIA],$B60,T_dados[DATA],"&gt;="&amp;OUT_I,T_dados[DATA],"&lt;="&amp;OUT_F)</f>
        <v>0</v>
      </c>
      <c r="N60" s="36">
        <f>SUMIFS(T_dados[VALOR],T_dados[CATEGORIA],"Taxas",T_dados[SUBCATEGORIA],$B60,T_dados[DATA],"&gt;="&amp;NOV_I,T_dados[DATA],"&lt;="&amp;NOV_F)</f>
        <v>0</v>
      </c>
      <c r="O60" s="36">
        <f>SUMIFS(T_dados[VALOR],T_dados[CATEGORIA],"Taxas",T_dados[SUBCATEGORIA],$B60,T_dados[DATA],"&gt;="&amp;DEZ_I,T_dados[DATA],"&lt;="&amp;DEZ_F)</f>
        <v>0</v>
      </c>
      <c r="Q60" s="142"/>
      <c r="R60" s="145"/>
      <c r="T60" s="139"/>
    </row>
    <row r="61" spans="2:20" x14ac:dyDescent="0.25">
      <c r="B61" s="17" t="s">
        <v>78</v>
      </c>
      <c r="D61" s="36">
        <f>SUMIFS(T_dados[VALOR],T_dados[CATEGORIA],"Taxas",T_dados[SUBCATEGORIA],$B61,T_dados[DATA],"&gt;="&amp;JAN_I,T_dados[DATA],"&lt;="&amp;JAN_F)</f>
        <v>0</v>
      </c>
      <c r="E61" s="36">
        <f>SUMIFS(T_dados[VALOR],T_dados[CATEGORIA],"Taxas",T_dados[SUBCATEGORIA],$B61,T_dados[DATA],"&gt;="&amp;FEV_I,T_dados[DATA],"&lt;="&amp;FEV_F)</f>
        <v>0</v>
      </c>
      <c r="F61" s="36">
        <f>SUMIFS(T_dados[VALOR],T_dados[CATEGORIA],"Taxas",T_dados[SUBCATEGORIA],$B61,T_dados[DATA],"&gt;="&amp;MAR_I,T_dados[DATA],"&lt;="&amp;MAR_F)</f>
        <v>0</v>
      </c>
      <c r="G61" s="36">
        <f>SUMIFS(T_dados[VALOR],T_dados[CATEGORIA],"Taxas",T_dados[SUBCATEGORIA],$B61,T_dados[DATA],"&gt;="&amp;ABR_I,T_dados[DATA],"&lt;="&amp;ABR_F)</f>
        <v>0</v>
      </c>
      <c r="H61" s="36">
        <f>SUMIFS(T_dados[VALOR],T_dados[CATEGORIA],"Taxas",T_dados[SUBCATEGORIA],$B61,T_dados[DATA],"&gt;="&amp;MAI_I,T_dados[DATA],"&lt;="&amp;MAI_F)</f>
        <v>0</v>
      </c>
      <c r="I61" s="36">
        <f>SUMIFS(T_dados[VALOR],T_dados[CATEGORIA],"Taxas",T_dados[SUBCATEGORIA],$B61,T_dados[DATA],"&gt;="&amp;JUN_I,T_dados[DATA],"&lt;="&amp;JUN_F)</f>
        <v>0</v>
      </c>
      <c r="J61" s="36">
        <f>SUMIFS(T_dados[VALOR],T_dados[CATEGORIA],"Taxas",T_dados[SUBCATEGORIA],$B61,T_dados[DATA],"&gt;="&amp;JUL_I,T_dados[DATA],"&lt;="&amp;JUL_F)</f>
        <v>0</v>
      </c>
      <c r="K61" s="36">
        <f>SUMIFS(T_dados[VALOR],T_dados[CATEGORIA],"Taxas",T_dados[SUBCATEGORIA],$B61,T_dados[DATA],"&gt;="&amp;AGO_I,T_dados[DATA],"&lt;="&amp;AGO_F)</f>
        <v>0</v>
      </c>
      <c r="L61" s="36">
        <f>SUMIFS(T_dados[VALOR],T_dados[CATEGORIA],"Taxas",T_dados[SUBCATEGORIA],$B61,T_dados[DATA],"&gt;="&amp;SET_I,T_dados[DATA],"&lt;="&amp;SET_F)</f>
        <v>0</v>
      </c>
      <c r="M61" s="36">
        <f>SUMIFS(T_dados[VALOR],T_dados[CATEGORIA],"Taxas",T_dados[SUBCATEGORIA],$B61,T_dados[DATA],"&gt;="&amp;OUT_I,T_dados[DATA],"&lt;="&amp;OUT_F)</f>
        <v>0</v>
      </c>
      <c r="N61" s="36">
        <f>SUMIFS(T_dados[VALOR],T_dados[CATEGORIA],"Taxas",T_dados[SUBCATEGORIA],$B61,T_dados[DATA],"&gt;="&amp;NOV_I,T_dados[DATA],"&lt;="&amp;NOV_F)</f>
        <v>0</v>
      </c>
      <c r="O61" s="36">
        <f>SUMIFS(T_dados[VALOR],T_dados[CATEGORIA],"Taxas",T_dados[SUBCATEGORIA],$B61,T_dados[DATA],"&gt;="&amp;DEZ_I,T_dados[DATA],"&lt;="&amp;DEZ_F)</f>
        <v>0</v>
      </c>
      <c r="Q61" s="142"/>
      <c r="R61" s="145"/>
      <c r="T61" s="139"/>
    </row>
    <row r="62" spans="2:20" x14ac:dyDescent="0.25">
      <c r="B62" s="17" t="s">
        <v>79</v>
      </c>
      <c r="D62" s="36">
        <f>SUMIFS(T_dados[VALOR],T_dados[CATEGORIA],"Taxas",T_dados[SUBCATEGORIA],$B62,T_dados[DATA],"&gt;="&amp;JAN_I,T_dados[DATA],"&lt;="&amp;JAN_F)</f>
        <v>0</v>
      </c>
      <c r="E62" s="36">
        <f>SUMIFS(T_dados[VALOR],T_dados[CATEGORIA],"Taxas",T_dados[SUBCATEGORIA],$B62,T_dados[DATA],"&gt;="&amp;FEV_I,T_dados[DATA],"&lt;="&amp;FEV_F)</f>
        <v>0</v>
      </c>
      <c r="F62" s="36">
        <f>SUMIFS(T_dados[VALOR],T_dados[CATEGORIA],"Taxas",T_dados[SUBCATEGORIA],$B62,T_dados[DATA],"&gt;="&amp;MAR_I,T_dados[DATA],"&lt;="&amp;MAR_F)</f>
        <v>0</v>
      </c>
      <c r="G62" s="36">
        <f>SUMIFS(T_dados[VALOR],T_dados[CATEGORIA],"Taxas",T_dados[SUBCATEGORIA],$B62,T_dados[DATA],"&gt;="&amp;ABR_I,T_dados[DATA],"&lt;="&amp;ABR_F)</f>
        <v>0</v>
      </c>
      <c r="H62" s="36">
        <f>SUMIFS(T_dados[VALOR],T_dados[CATEGORIA],"Taxas",T_dados[SUBCATEGORIA],$B62,T_dados[DATA],"&gt;="&amp;MAI_I,T_dados[DATA],"&lt;="&amp;MAI_F)</f>
        <v>0</v>
      </c>
      <c r="I62" s="36">
        <f>SUMIFS(T_dados[VALOR],T_dados[CATEGORIA],"Taxas",T_dados[SUBCATEGORIA],$B62,T_dados[DATA],"&gt;="&amp;JUN_I,T_dados[DATA],"&lt;="&amp;JUN_F)</f>
        <v>0</v>
      </c>
      <c r="J62" s="36">
        <f>SUMIFS(T_dados[VALOR],T_dados[CATEGORIA],"Taxas",T_dados[SUBCATEGORIA],$B62,T_dados[DATA],"&gt;="&amp;JUL_I,T_dados[DATA],"&lt;="&amp;JUL_F)</f>
        <v>0</v>
      </c>
      <c r="K62" s="36">
        <f>SUMIFS(T_dados[VALOR],T_dados[CATEGORIA],"Taxas",T_dados[SUBCATEGORIA],$B62,T_dados[DATA],"&gt;="&amp;AGO_I,T_dados[DATA],"&lt;="&amp;AGO_F)</f>
        <v>0</v>
      </c>
      <c r="L62" s="36">
        <f>SUMIFS(T_dados[VALOR],T_dados[CATEGORIA],"Taxas",T_dados[SUBCATEGORIA],$B62,T_dados[DATA],"&gt;="&amp;SET_I,T_dados[DATA],"&lt;="&amp;SET_F)</f>
        <v>0</v>
      </c>
      <c r="M62" s="36">
        <f>SUMIFS(T_dados[VALOR],T_dados[CATEGORIA],"Taxas",T_dados[SUBCATEGORIA],$B62,T_dados[DATA],"&gt;="&amp;OUT_I,T_dados[DATA],"&lt;="&amp;OUT_F)</f>
        <v>0</v>
      </c>
      <c r="N62" s="36">
        <f>SUMIFS(T_dados[VALOR],T_dados[CATEGORIA],"Taxas",T_dados[SUBCATEGORIA],$B62,T_dados[DATA],"&gt;="&amp;NOV_I,T_dados[DATA],"&lt;="&amp;NOV_F)</f>
        <v>0</v>
      </c>
      <c r="O62" s="36">
        <f>SUMIFS(T_dados[VALOR],T_dados[CATEGORIA],"Taxas",T_dados[SUBCATEGORIA],$B62,T_dados[DATA],"&gt;="&amp;DEZ_I,T_dados[DATA],"&lt;="&amp;DEZ_F)</f>
        <v>0</v>
      </c>
      <c r="Q62" s="142"/>
      <c r="R62" s="145"/>
      <c r="T62" s="139"/>
    </row>
    <row r="63" spans="2:20" x14ac:dyDescent="0.25">
      <c r="B63" s="15" t="s">
        <v>20</v>
      </c>
      <c r="D63" s="36">
        <f>SUMIFS(T_dados[VALOR],T_dados[CATEGORIA],"Taxas",T_dados[SUBCATEGORIA],$B63,T_dados[DATA],"&gt;="&amp;JAN_I,T_dados[DATA],"&lt;="&amp;JAN_F)</f>
        <v>0</v>
      </c>
      <c r="E63" s="36">
        <f>SUMIFS(T_dados[VALOR],T_dados[CATEGORIA],"Taxas",T_dados[SUBCATEGORIA],$B63,T_dados[DATA],"&gt;="&amp;FEV_I,T_dados[DATA],"&lt;="&amp;FEV_F)</f>
        <v>0</v>
      </c>
      <c r="F63" s="36">
        <f>SUMIFS(T_dados[VALOR],T_dados[CATEGORIA],"Taxas",T_dados[SUBCATEGORIA],$B63,T_dados[DATA],"&gt;="&amp;MAR_I,T_dados[DATA],"&lt;="&amp;MAR_F)</f>
        <v>0</v>
      </c>
      <c r="G63" s="36">
        <f>SUMIFS(T_dados[VALOR],T_dados[CATEGORIA],"Taxas",T_dados[SUBCATEGORIA],$B63,T_dados[DATA],"&gt;="&amp;ABR_I,T_dados[DATA],"&lt;="&amp;ABR_F)</f>
        <v>0</v>
      </c>
      <c r="H63" s="36">
        <f>SUMIFS(T_dados[VALOR],T_dados[CATEGORIA],"Taxas",T_dados[SUBCATEGORIA],$B63,T_dados[DATA],"&gt;="&amp;MAI_I,T_dados[DATA],"&lt;="&amp;MAI_F)</f>
        <v>0</v>
      </c>
      <c r="I63" s="36">
        <f>SUMIFS(T_dados[VALOR],T_dados[CATEGORIA],"Taxas",T_dados[SUBCATEGORIA],$B63,T_dados[DATA],"&gt;="&amp;JUN_I,T_dados[DATA],"&lt;="&amp;JUN_F)</f>
        <v>0</v>
      </c>
      <c r="J63" s="36">
        <f>SUMIFS(T_dados[VALOR],T_dados[CATEGORIA],"Taxas",T_dados[SUBCATEGORIA],$B63,T_dados[DATA],"&gt;="&amp;JUL_I,T_dados[DATA],"&lt;="&amp;JUL_F)</f>
        <v>0</v>
      </c>
      <c r="K63" s="36">
        <f>SUMIFS(T_dados[VALOR],T_dados[CATEGORIA],"Taxas",T_dados[SUBCATEGORIA],$B63,T_dados[DATA],"&gt;="&amp;AGO_I,T_dados[DATA],"&lt;="&amp;AGO_F)</f>
        <v>0</v>
      </c>
      <c r="L63" s="36">
        <f>SUMIFS(T_dados[VALOR],T_dados[CATEGORIA],"Taxas",T_dados[SUBCATEGORIA],$B63,T_dados[DATA],"&gt;="&amp;SET_I,T_dados[DATA],"&lt;="&amp;SET_F)</f>
        <v>0</v>
      </c>
      <c r="M63" s="36">
        <f>SUMIFS(T_dados[VALOR],T_dados[CATEGORIA],"Taxas",T_dados[SUBCATEGORIA],$B63,T_dados[DATA],"&gt;="&amp;OUT_I,T_dados[DATA],"&lt;="&amp;OUT_F)</f>
        <v>0</v>
      </c>
      <c r="N63" s="36">
        <f>SUMIFS(T_dados[VALOR],T_dados[CATEGORIA],"Taxas",T_dados[SUBCATEGORIA],$B63,T_dados[DATA],"&gt;="&amp;NOV_I,T_dados[DATA],"&lt;="&amp;NOV_F)</f>
        <v>0</v>
      </c>
      <c r="O63" s="36">
        <f>SUMIFS(T_dados[VALOR],T_dados[CATEGORIA],"Taxas",T_dados[SUBCATEGORIA],$B63,T_dados[DATA],"&gt;="&amp;DEZ_I,T_dados[DATA],"&lt;="&amp;DEZ_F)</f>
        <v>0</v>
      </c>
      <c r="Q63" s="143"/>
      <c r="R63" s="146"/>
      <c r="T63" s="139"/>
    </row>
    <row r="64" spans="2:20" x14ac:dyDescent="0.25">
      <c r="T64" s="139"/>
    </row>
    <row r="65" spans="1:20" ht="26.25" x14ac:dyDescent="0.4">
      <c r="A65" s="140" t="s">
        <v>100</v>
      </c>
      <c r="B65" s="140"/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39"/>
    </row>
    <row r="66" spans="1:20" x14ac:dyDescent="0.25">
      <c r="B66" s="19" t="s">
        <v>100</v>
      </c>
      <c r="T66" s="139"/>
    </row>
    <row r="67" spans="1:20" x14ac:dyDescent="0.25">
      <c r="B67" s="16" t="s">
        <v>105</v>
      </c>
      <c r="D67" s="36">
        <f>SUMIFS(T_dados[VALOR],T_dados[CONTA],"Curto",T_dados[CATEGORIA],"Transferência",T_dados[SUBCATEGORIA],"Entrada",T_dados[DATA],"&gt;="&amp;JAN_I,T_dados[DATA],"&lt;="&amp;JAN_F)+SUMIFS(T_dados[VALOR],T_dados[CONTA],"Médio",T_dados[CATEGORIA],"Transferência",T_dados[SUBCATEGORIA],"Entrada",T_dados[DATA],"&gt;="&amp;JAN_I,T_dados[DATA],"&lt;="&amp;JAN_F)+SUMIFS(T_dados[VALOR],T_dados[CONTA],"Longoo",T_dados[CATEGORIA],"Transferência",T_dados[SUBCATEGORIA],"Entrada",T_dados[DATA],"&gt;="&amp;JAN_I,T_dados[DATA],"&lt;="&amp;JAN_F)+SUMIFS(T_dados[VALOR],T_dados[CONTA],"Reserva",T_dados[CATEGORIA],"Transferência",T_dados[SUBCATEGORIA],"Entrada",T_dados[DATA],"&gt;="&amp;JAN_I,T_dados[DATA],"&lt;="&amp;JAN_F)+SUMIFS(T_dados[VALOR],T_dados[CONTA],"Educação",T_dados[CATEGORIA],"Transferência",T_dados[SUBCATEGORIA],"Entrada",T_dados[DATA],"&gt;="&amp;JAN_I,T_dados[DATA],"&lt;="&amp;JAN_F)+SUMIFS(T_dados[VALOR],T_dados[CONTA],"Viagens",T_dados[CATEGORIA],"Transferência",T_dados[SUBCATEGORIA],"Entrada",T_dados[DATA],"&gt;="&amp;JAN_I,T_dados[DATA],"&lt;="&amp;JAN_F)</f>
        <v>0</v>
      </c>
      <c r="E67" s="36">
        <f>SUMIFS(T_dados[VALOR],T_dados[CONTA],"Curto",T_dados[CATEGORIA],"Transferência",T_dados[SUBCATEGORIA],"Entrada",T_dados[DATA],"&gt;="&amp;FEV_I,T_dados[DATA],"&lt;="&amp;FEV_F)+SUMIFS(T_dados[VALOR],T_dados[CONTA],"Médio",T_dados[CATEGORIA],"Transferência",T_dados[SUBCATEGORIA],"Entrada",T_dados[DATA],"&gt;="&amp;FEV_I,T_dados[DATA],"&lt;="&amp;FEV_F)+SUMIFS(T_dados[VALOR],T_dados[CONTA],"Longo",T_dados[CATEGORIA],"Transferência",T_dados[SUBCATEGORIA],"Entrada",T_dados[DATA],"&gt;="&amp;FEV_I,T_dados[DATA],"&lt;="&amp;FEV_F)+SUMIFS(T_dados[VALOR],T_dados[CONTA],"Reserva",T_dados[CATEGORIA],"Transferência",T_dados[SUBCATEGORIA],"Entrada",T_dados[DATA],"&gt;="&amp;FEV_I,T_dados[DATA],"&lt;="&amp;FEV_F)+SUMIFS(T_dados[VALOR],T_dados[CONTA],"Educação",T_dados[CATEGORIA],"Transferência",T_dados[SUBCATEGORIA],"Entrada",T_dados[DATA],"&gt;="&amp;FEV_I,T_dados[DATA],"&lt;="&amp;FEV_F)+SUMIFS(T_dados[VALOR],T_dados[CONTA],"Viagens",T_dados[CATEGORIA],"Transferência",T_dados[SUBCATEGORIA],"Entrada",T_dados[DATA],"&gt;="&amp;FEV_I,T_dados[DATA],"&lt;="&amp;FEV_F)</f>
        <v>0</v>
      </c>
      <c r="F67" s="36" cm="1">
        <f t="array" ref="F67">SUMIFS(T_dados[VALOR],T_dados[CONTA],"Curto",T_dados[CATEGORIA],"Transferência",T_dados[SUBCATEGORIA],"Entrada",T_dados[DATA],"&gt;="&amp;MAR_I,T_dados[DATA],"&lt;="&amp;MAR_F)+SUMIFS(T_dados[VALOR],T_dados[CONTA],"Médio",T_dados[CATEGORIA],"Transferência",T_dados[SUBCATEGORIA],"Entrada",T_dados[DATA],"&gt;="&amp;MAR_I,T_dados[DATA],"&lt;="&amp;MAR_F)+SUMIFS(T_dados[VALOR],T_dados[CONTA],"Longo",T_dados[CATEGORIA],"Transferência",T_dados[SUBCATEGORIA],"Entrada",T_dados[DATA],"&gt;="&amp;MAR_I,T_dados[DATA],"&lt;="&amp;MAR_F)+SUMIFS(T_dados[VALOR],T_dados[CONTA],"Reserva",T_dados[CATEGORIA],"Transferência",T_dados[SUBCATEGORIA],"Entrada",T_dados[DATA],"&gt;="&amp;MAR_I,T_dados[DATA],"&lt;="&amp;MAR_F)+SUMIFS(T_dados[VALOR],T_dados[CONTA],"Educação",T_dados[CATEGORIA],"Transferência",T_dados[SUBCATEGORIA],"Entrada",T_dados[DATA],"&gt;="&amp;MAR_I,T_dados[DATA],"&lt;="&amp;MAR_FF)+SUMIFS(T_dados[VALOR],T_dados[CONTA],"Viagens",T_dados[CATEGORIA],"Transferência",T_dados[SUBCATEGORIA],"Entrada",T_dados[DATA],"&gt;="&amp;MAR_I,T_dados[DATA],"&lt;="&amp;MAR_F)</f>
        <v>0</v>
      </c>
      <c r="G67" s="36">
        <f>SUMIFS(T_dados[VALOR],T_dados[CONTA],"Curto",T_dados[CATEGORIA],"Transferência",T_dados[SUBCATEGORIA],"Entrada",T_dados[DATA],"&gt;="&amp;ABR_I,T_dados[DATA],"&lt;="&amp;ABR_F)+SUMIFS(T_dados[VALOR],T_dados[CONTA],"Médio",T_dados[CATEGORIA],"Transferência",T_dados[SUBCATEGORIA],"Entrada",T_dados[DATA],"&gt;="&amp;ABR_I,T_dados[DATA],"&lt;="&amp;ABR_F)+SUMIFS(T_dados[VALOR],T_dados[CONTA],"Longo",T_dados[CATEGORIA],"Transferência",T_dados[SUBCATEGORIA],"Entrada",T_dados[DATA],"&gt;="&amp;ABR_I,T_dados[DATA],"&lt;="&amp;ABR_F)+SUMIFS(T_dados[VALOR],T_dados[CONTA],"Reserva",T_dados[CATEGORIA],"Transferência",T_dados[SUBCATEGORIA],"Entrada",T_dados[DATA],"&gt;="&amp;ABR_I,T_dados[DATA],"&lt;="&amp;ABR_F)+SUMIFS(T_dados[VALOR],T_dados[CONTA],"Educação",T_dados[CATEGORIA],"Transferência",T_dados[SUBCATEGORIA],"Entrada",T_dados[DATA],"&gt;="&amp;ABR_I,T_dados[DATA],"&lt;="&amp;ABR_F)+SUMIFS(T_dados[VALOR],T_dados[CONTA],"Viagens",T_dados[CATEGORIA],"Transferência",T_dados[SUBCATEGORIA],"Entrada",T_dados[DATA],"&gt;="&amp;ABR_I,T_dados[DATA],"&lt;="&amp;ABR_F)</f>
        <v>0</v>
      </c>
      <c r="H67" s="36">
        <f>SUMIFS(T_dados[VALOR],T_dados[CONTA],"Curto",T_dados[CATEGORIA],"Transferência",T_dados[SUBCATEGORIA],"Entrada",T_dados[DATA],"&gt;="&amp;MAI_I,T_dados[DATA],"&lt;="&amp;MAI_F)+SUMIFS(T_dados[VALOR],T_dados[CONTA],"Médio",T_dados[CATEGORIA],"Transferência",T_dados[SUBCATEGORIA],"Entrada",T_dados[DATA],"&gt;="&amp;MAI_I,T_dados[DATA],"&lt;="&amp;MAI_F)+SUMIFS(T_dados[VALOR],T_dados[CONTA],"Longo",T_dados[CATEGORIA],"Transferência",T_dados[SUBCATEGORIA],"Entrada",T_dados[DATA],"&gt;="&amp;MAI_I,T_dados[DATA],"&lt;="&amp;MAI_F)+SUMIFS(T_dados[VALOR],T_dados[CONTA],"Reserva",T_dados[CATEGORIA],"Transferência",T_dados[SUBCATEGORIA],"Entrada",T_dados[DATA],"&gt;="&amp;MAI_I,T_dados[DATA],"&lt;="&amp;MAI_F)+SUMIFS(T_dados[VALOR],T_dados[CONTA],"Educação",T_dados[CATEGORIA],"Transferência",T_dados[SUBCATEGORIA],"Entrada",T_dados[DATA],"&gt;="&amp;MAI_I,T_dados[DATA],"&lt;="&amp;MAI_F)+SUMIFS(T_dados[VALOR],T_dados[CONTA],"Viagens",T_dados[CATEGORIA],"Transferência",T_dados[SUBCATEGORIA],"Entrada",T_dados[DATA],"&gt;="&amp;MAI_I,T_dados[DATA],"&lt;="&amp;MAI_F)</f>
        <v>0</v>
      </c>
      <c r="I67" s="36">
        <f>SUMIFS(T_dados[VALOR],T_dados[CONTA],"Curto",T_dados[CATEGORIA],"Transferência",T_dados[SUBCATEGORIA],"Entrada",T_dados[DATA],"&gt;="&amp;JUN_I,T_dados[DATA],"&lt;="&amp;JUN_F)+SUMIFS(T_dados[VALOR],T_dados[CONTA],"Médio",T_dados[CATEGORIA],"Transferência",T_dados[SUBCATEGORIA],"Entrada",T_dados[DATA],"&gt;="&amp;JUN_I,T_dados[DATA],"&lt;="&amp;JUN_F)+SUMIFS(T_dados[VALOR],T_dados[CONTA],"Longo",T_dados[CATEGORIA],"Transferência",T_dados[SUBCATEGORIA],"Entrada",T_dados[DATA],"&gt;="&amp;JUN_I,T_dados[DATA],"&lt;="&amp;JUN_F)+SUMIFS(T_dados[VALOR],T_dados[CONTA],"Reserva",T_dados[CATEGORIA],"Transferência",T_dados[SUBCATEGORIA],"Entrada",T_dados[DATA],"&gt;="&amp;JUN_I,T_dados[DATA],"&lt;="&amp;JUN_F)+SUMIFS(T_dados[VALOR],T_dados[CONTA],"Educação",T_dados[CATEGORIA],"Transferência",T_dados[SUBCATEGORIA],"Entrada",T_dados[DATA],"&gt;="&amp;JUN_I,T_dados[DATA],"&lt;="&amp;JUN_F)+SUMIFS(T_dados[VALOR],T_dados[CONTA],"Viagens",T_dados[CATEGORIA],"Transferência",T_dados[SUBCATEGORIA],"Entrada",T_dados[DATA],"&gt;="&amp;JUN_I,T_dados[DATA],"&lt;="&amp;JUN_F)</f>
        <v>0</v>
      </c>
      <c r="J67" s="36">
        <f>SUMIFS(T_dados[VALOR],T_dados[CONTA],"Curto",T_dados[CATEGORIA],"Transferência",T_dados[SUBCATEGORIA],"Entrada",T_dados[DATA],"&gt;="&amp;JUL_I,T_dados[DATA],"&lt;="&amp;JUL_F)+SUMIFS(T_dados[VALOR],T_dados[CONTA],"Médio",T_dados[CATEGORIA],"Transferência",T_dados[SUBCATEGORIA],"Entrada",T_dados[DATA],"&gt;="&amp;JUL_I,T_dados[DATA],"&lt;="&amp;JUL_F)+SUMIFS(T_dados[VALOR],T_dados[CONTA],"Longo",T_dados[CATEGORIA],"Transferência",T_dados[SUBCATEGORIA],"Entrada",T_dados[DATA],"&gt;="&amp;JUL_I,T_dados[DATA],"&lt;="&amp;JUL_F)+SUMIFS(T_dados[VALOR],T_dados[CONTA],"Reserva",T_dados[CATEGORIA],"Transferência",T_dados[SUBCATEGORIA],"Entrada",T_dados[DATA],"&gt;="&amp;JUL_I,T_dados[DATA],"&lt;="&amp;JUL_F)+SUMIFS(T_dados[VALOR],T_dados[CONTA],"Educação",T_dados[CATEGORIA],"Transferência",T_dados[SUBCATEGORIA],"Entrada",T_dados[DATA],"&gt;="&amp;JUL_I,T_dados[DATA],"&lt;="&amp;JUL_F)+SUMIFS(T_dados[VALOR],T_dados[CONTA],"Viagens",T_dados[CATEGORIA],"Transferência",T_dados[SUBCATEGORIA],"Entrada",T_dados[DATA],"&gt;="&amp;JUL_I,T_dados[DATA],"&lt;="&amp;JUL_F)</f>
        <v>0</v>
      </c>
      <c r="K67" s="36">
        <f>SUMIFS(T_dados[VALOR],T_dados[CONTA],"Curto",T_dados[CATEGORIA],"Transferência",T_dados[SUBCATEGORIA],"Entrada",T_dados[DATA],"&gt;="&amp;AGO_I,T_dados[DATA],"&lt;="&amp;AGO_F)+SUMIFS(T_dados[VALOR],T_dados[CONTA],"Médio",T_dados[CATEGORIA],"Transferência",T_dados[SUBCATEGORIA],"Entrada",T_dados[DATA],"&gt;="&amp;AGO_I,T_dados[DATA],"&lt;="&amp;AGO_F)+SUMIFS(T_dados[VALOR],T_dados[CONTA],"Longo",T_dados[CATEGORIA],"Transferência",T_dados[SUBCATEGORIA],"Entrada",T_dados[DATA],"&gt;="&amp;AGO_I,T_dados[DATA],"&lt;="&amp;AGO_F)+SUMIFS(T_dados[VALOR],T_dados[CONTA],"Reserva",T_dados[CATEGORIA],"Transferência",T_dados[SUBCATEGORIA],"Entrada",T_dados[DATA],"&gt;="&amp;AGO_I,T_dados[DATA],"&lt;="&amp;AGO_F)+SUMIFS(T_dados[VALOR],T_dados[CONTA],"Educação",T_dados[CATEGORIA],"Transferência",T_dados[SUBCATEGORIA],"Entrada",T_dados[DATA],"&gt;="&amp;AGO_I,T_dados[DATA],"&lt;="&amp;AGO_F)+SUMIFS(T_dados[VALOR],T_dados[CONTA],"Viagens",T_dados[CATEGORIA],"Transferência",T_dados[SUBCATEGORIA],"Entrada",T_dados[DATA],"&gt;="&amp;AGO_I,T_dados[DATA],"&lt;="&amp;AGO_F)</f>
        <v>0</v>
      </c>
      <c r="L67" s="36">
        <f>SUMIFS(T_dados[VALOR],T_dados[CONTA],"Curto",T_dados[CATEGORIA],"Transferência",T_dados[SUBCATEGORIA],"Entrada",T_dados[DATA],"&gt;="&amp;SET_I,T_dados[DATA],"&lt;="&amp;SET_F)+SUMIFS(T_dados[VALOR],T_dados[CONTA],"Médio",T_dados[CATEGORIA],"Transferência",T_dados[SUBCATEGORIA],"Entrada",T_dados[DATA],"&gt;="&amp;SET_I,T_dados[DATA],"&lt;="&amp;SET_F)+SUMIFS(T_dados[VALOR],T_dados[CONTA],"Longo",T_dados[CATEGORIA],"Transferência",T_dados[SUBCATEGORIA],"Entrada",T_dados[DATA],"&gt;="&amp;SET_I,T_dados[DATA],"&lt;="&amp;SET_F)+SUMIFS(T_dados[VALOR],T_dados[CONTA],"Reserva",T_dados[CATEGORIA],"Transferência",T_dados[SUBCATEGORIA],"Entrada",T_dados[DATA],"&gt;="&amp;SET_I,T_dados[DATA],"&lt;="&amp;SET_F)+SUMIFS(T_dados[VALOR],T_dados[CONTA],"Educação",T_dados[CATEGORIA],"Transferência",T_dados[SUBCATEGORIA],"Entrada",T_dados[DATA],"&gt;="&amp;SET_I,T_dados[DATA],"&lt;="&amp;SET_F)+SUMIFS(T_dados[VALOR],T_dados[CONTA],"Viagens",T_dados[CATEGORIA],"Transferência",T_dados[SUBCATEGORIA],"Entrada",T_dados[DATA],"&gt;="&amp;SET_I,T_dados[DATA],"&lt;="&amp;SET_F)</f>
        <v>0</v>
      </c>
      <c r="M67" s="36">
        <f>SUMIFS(T_dados[VALOR],T_dados[CONTA],"Curto",T_dados[CATEGORIA],"Transferência",T_dados[SUBCATEGORIA],"Entrada",T_dados[DATA],"&gt;="&amp;OUT_I,T_dados[DATA],"&lt;="&amp;OUT_F)+SUMIFS(T_dados[VALOR],T_dados[CONTA],"Médio",T_dados[CATEGORIA],"Transferência",T_dados[SUBCATEGORIA],"Entrada",T_dados[DATA],"&gt;="&amp;OUT_I,T_dados[DATA],"&lt;="&amp;OUT_F)+SUMIFS(T_dados[VALOR],T_dados[CONTA],"Longo",T_dados[CATEGORIA],"Transferência",T_dados[SUBCATEGORIA],"Entrada",T_dados[DATA],"&gt;="&amp;OUT_I,T_dados[DATA],"&lt;="&amp;OUT_F)+SUMIFS(T_dados[VALOR],T_dados[CONTA],"Reserva",T_dados[CATEGORIA],"Transferência",T_dados[SUBCATEGORIA],"Entrada",T_dados[DATA],"&gt;="&amp;OUT_I,T_dados[DATA],"&lt;="&amp;OUT_F)+SUMIFS(T_dados[VALOR],T_dados[CONTA],"Educação",T_dados[CATEGORIA],"Transferência",T_dados[SUBCATEGORIA],"Entrada",T_dados[DATA],"&gt;="&amp;OUT_I,T_dados[DATA],"&lt;="&amp;OUT_F)+SUMIFS(T_dados[VALOR],T_dados[CONTA],"Viagens",T_dados[CATEGORIA],"Transferência",T_dados[SUBCATEGORIA],"Entrada",T_dados[DATA],"&gt;="&amp;OUT_I,T_dados[DATA],"&lt;="&amp;OUT_F)</f>
        <v>0</v>
      </c>
      <c r="N67" s="36">
        <f>SUMIFS(T_dados[VALOR],T_dados[CONTA],"Curto",T_dados[CATEGORIA],"Transferência",T_dados[SUBCATEGORIA],"Entrada",T_dados[DATA],"&gt;="&amp;NOV_I,T_dados[DATA],"&lt;="&amp;NOV_F)+SUMIFS(T_dados[VALOR],T_dados[CONTA],"Médio",T_dados[CATEGORIA],"Transferência",T_dados[SUBCATEGORIA],"Entrada",T_dados[DATA],"&gt;="&amp;NOV_I,T_dados[DATA],"&lt;="&amp;NOV_F)+SUMIFS(T_dados[VALOR],T_dados[CONTA],"Longo",T_dados[CATEGORIA],"Transferência",T_dados[SUBCATEGORIA],"Entrada",T_dados[DATA],"&gt;="&amp;NOV_I,T_dados[DATA],"&lt;="&amp;NOV_F)+SUMIFS(T_dados[VALOR],T_dados[CONTA],"Reserva",T_dados[CATEGORIA],"Transferência",T_dados[SUBCATEGORIA],"Entrada",T_dados[DATA],"&gt;="&amp;NOV_I,T_dados[DATA],"&lt;="&amp;NOV_F)+SUMIFS(T_dados[VALOR],T_dados[CONTA],"Educação",T_dados[CATEGORIA],"Transferência",T_dados[SUBCATEGORIA],"Entrada",T_dados[DATA],"&gt;="&amp;NOV_I,T_dados[DATA],"&lt;="&amp;NOV_F)+SUMIFS(T_dados[VALOR],T_dados[CONTA],"Viagens",T_dados[CATEGORIA],"Transferência",T_dados[SUBCATEGORIA],"Entrada",T_dados[DATA],"&gt;="&amp;NOV_I,T_dados[DATA],"&lt;="&amp;NOV_F)</f>
        <v>0</v>
      </c>
      <c r="O67" s="36">
        <f>SUMIFS(T_dados[VALOR],T_dados[CONTA],"Curto",T_dados[CATEGORIA],"Transferência",T_dados[SUBCATEGORIA],"Entrada",T_dados[DATA],"&gt;="&amp;DEZ_I,T_dados[DATA],"&lt;="&amp;DEZ_F)+SUMIFS(T_dados[VALOR],T_dados[CONTA],"Médio",T_dados[CATEGORIA],"Transferência",T_dados[SUBCATEGORIA],"Entrada",T_dados[DATA],"&gt;="&amp;DEZ_I,T_dados[DATA],"&lt;="&amp;DEZ_F)+SUMIFS(T_dados[VALOR],T_dados[CONTA],"Longo",T_dados[CATEGORIA],"Transferência",T_dados[SUBCATEGORIA],"Entrada",T_dados[DATA],"&gt;="&amp;DEZ_I,T_dados[DATA],"&lt;="&amp;DEZ_F)+SUMIFS(T_dados[VALOR],T_dados[CONTA],"Reserva",T_dados[CATEGORIA],"Transferência",T_dados[SUBCATEGORIA],"Entrada",T_dados[DATA],"&gt;="&amp;DEZ_I,T_dados[DATA],"&lt;="&amp;DEZ_F)+SUMIFS(T_dados[VALOR],T_dados[CONTA],"Educação",T_dados[CATEGORIA],"Transferência",T_dados[SUBCATEGORIA],"Entrada",T_dados[DATA],"&gt;="&amp;DEZ_I,T_dados[DATA],"&lt;="&amp;DEZ_F)+SUMIFS(T_dados[VALOR],T_dados[CONTA],"Viagens",T_dados[CATEGORIA],"Transferência",T_dados[SUBCATEGORIA],"Entrada",T_dados[DATA],"&gt;="&amp;DEZ_I,T_dados[DATA],"&lt;="&amp;DEZ_F)</f>
        <v>0</v>
      </c>
      <c r="Q67" s="39">
        <f>Orçamento!B49*12</f>
        <v>0</v>
      </c>
      <c r="R67" s="39">
        <f>SUM(D67:O67)</f>
        <v>0</v>
      </c>
      <c r="T67" s="139"/>
    </row>
    <row r="68" spans="1:20" x14ac:dyDescent="0.25">
      <c r="B68" s="17" t="s">
        <v>106</v>
      </c>
      <c r="D68" s="36">
        <f>SUMIFS(T_dados[VALOR],T_dados[CONTA],"Curto",T_dados[CATEGORIA],"Transferência",T_dados[SUBCATEGORIA],"Saída",T_dados[DATA],"&gt;="&amp;JAN_I,T_dados[DATA],"&lt;="&amp;JAN_F)+SUMIFS(T_dados[VALOR],T_dados[CONTA],"Médio",T_dados[CATEGORIA],"Transferência",T_dados[SUBCATEGORIA],"Saída",T_dados[DATA],"&gt;="&amp;JAN_I,T_dados[DATA],"&lt;="&amp;JAN_F)+SUMIFS(T_dados[VALOR],T_dados[CONTA],"Longoo",T_dados[CATEGORIA],"Transferência",T_dados[SUBCATEGORIA],"Saída",T_dados[DATA],"&gt;="&amp;JAN_I,T_dados[DATA],"&lt;="&amp;JAN_F)+SUMIFS(T_dados[VALOR],T_dados[CONTA],"Reserva",T_dados[CATEGORIA],"Transferência",T_dados[SUBCATEGORIA],"Saída",T_dados[DATA],"&gt;="&amp;JAN_I,T_dados[DATA],"&lt;="&amp;JAN_F)+SUMIFS(T_dados[VALOR],T_dados[CONTA],"Educação",T_dados[CATEGORIA],"Transferência",T_dados[SUBCATEGORIA],"Saída",T_dados[DATA],"&gt;="&amp;JAN_I,T_dados[DATA],"&lt;="&amp;JAN_F)+SUMIFS(T_dados[VALOR],T_dados[CONTA],"Viagens",T_dados[CATEGORIA],"Transferência",T_dados[SUBCATEGORIA],"Saída",T_dados[DATA],"&gt;="&amp;JAN_I,T_dados[DATA],"&lt;="&amp;JAN_F)</f>
        <v>0</v>
      </c>
      <c r="E68" s="36">
        <f>SUMIFS(T_dados[VALOR],T_dados[CONTA],"Curto",T_dados[CATEGORIA],"Transferência",T_dados[SUBCATEGORIA],"Saída",T_dados[DATA],"&gt;="&amp;FEV_I,T_dados[DATA],"&lt;="&amp;FEV_F)+SUMIFS(T_dados[VALOR],T_dados[CONTA],"Médio",T_dados[CATEGORIA],"Transferência",T_dados[SUBCATEGORIA],"Saída",T_dados[DATA],"&gt;="&amp;FEV_I,T_dados[DATA],"&lt;="&amp;FEV_F)+SUMIFS(T_dados[VALOR],T_dados[CONTA],"Longo",T_dados[CATEGORIA],"Transferência",T_dados[SUBCATEGORIA],"Saída",T_dados[DATA],"&gt;="&amp;FEV_I,T_dados[DATA],"&lt;="&amp;FEV_F)+SUMIFS(T_dados[VALOR],T_dados[CONTA],"Reserva",T_dados[CATEGORIA],"Transferência",T_dados[SUBCATEGORIA],"Saída",T_dados[DATA],"&gt;="&amp;FEV_I,T_dados[DATA],"&lt;="&amp;FEV_F)+SUMIFS(T_dados[VALOR],T_dados[CONTA],"Educação",T_dados[CATEGORIA],"Transferência",T_dados[SUBCATEGORIA],"Saída",T_dados[DATA],"&gt;="&amp;FEV_I,T_dados[DATA],"&lt;="&amp;FEV_F)+SUMIFS(T_dados[VALOR],T_dados[CONTA],"Viagens",T_dados[CATEGORIA],"Transferência",T_dados[SUBCATEGORIA],"Saída",T_dados[DATA],"&gt;="&amp;FEV_I,T_dados[DATA],"&lt;="&amp;FEV_F)</f>
        <v>0</v>
      </c>
      <c r="F68" s="36" cm="1">
        <f t="array" ref="F68">SUMIFS(T_dados[VALOR],T_dados[CONTA],"Curto",T_dados[CATEGORIA],"Transferência",T_dados[SUBCATEGORIA],"Saída",T_dados[DATA],"&gt;="&amp;MAR_I,T_dados[DATA],"&lt;="&amp;MAR_F)+SUMIFS(T_dados[VALOR],T_dados[CONTA],"Médio",T_dados[CATEGORIA],"Transferência",T_dados[SUBCATEGORIA],"Saída",T_dados[DATA],"&gt;="&amp;MAR_I,T_dados[DATA],"&lt;="&amp;MAR_F)+SUMIFS(T_dados[VALOR],T_dados[CONTA],"Longo",T_dados[CATEGORIA],"Transferência",T_dados[SUBCATEGORIA],"Saída",T_dados[DATA],"&gt;="&amp;MAR_I,T_dados[DATA],"&lt;="&amp;MAR_F)+SUMIFS(T_dados[VALOR],T_dados[CONTA],"Reserva",T_dados[CATEGORIA],"Transferência",T_dados[SUBCATEGORIA],"Saída",T_dados[DATA],"&gt;="&amp;MAR_I,T_dados[DATA],"&lt;="&amp;MAR_F)+SUMIFS(T_dados[VALOR],T_dados[CONTA],"Educação",T_dados[CATEGORIA],"Transferência",T_dados[SUBCATEGORIA],"Saída",T_dados[DATA],"&gt;="&amp;MAR_I,T_dados[DATA],"&lt;="&amp;MAR_FF)+SUMIFS(T_dados[VALOR],T_dados[CONTA],"Viagens",T_dados[CATEGORIA],"Transferência",T_dados[SUBCATEGORIA],"Saída",T_dados[DATA],"&gt;="&amp;MAR_I,T_dados[DATA],"&lt;="&amp;MAR_F)</f>
        <v>0</v>
      </c>
      <c r="G68" s="36">
        <f>SUMIFS(T_dados[VALOR],T_dados[CONTA],"Curto",T_dados[CATEGORIA],"Transferência",T_dados[SUBCATEGORIA],"Saída",T_dados[DATA],"&gt;="&amp;ABR_I,T_dados[DATA],"&lt;="&amp;ABR_F)+SUMIFS(T_dados[VALOR],T_dados[CONTA],"Médio",T_dados[CATEGORIA],"Transferência",T_dados[SUBCATEGORIA],"Saída",T_dados[DATA],"&gt;="&amp;ABR_I,T_dados[DATA],"&lt;="&amp;ABR_F)+SUMIFS(T_dados[VALOR],T_dados[CONTA],"Longo",T_dados[CATEGORIA],"Transferência",T_dados[SUBCATEGORIA],"Saída",T_dados[DATA],"&gt;="&amp;ABR_I,T_dados[DATA],"&lt;="&amp;ABR_F)+SUMIFS(T_dados[VALOR],T_dados[CONTA],"Reserva",T_dados[CATEGORIA],"Transferência",T_dados[SUBCATEGORIA],"Saída",T_dados[DATA],"&gt;="&amp;ABR_I,T_dados[DATA],"&lt;="&amp;ABR_F)+SUMIFS(T_dados[VALOR],T_dados[CONTA],"Educação",T_dados[CATEGORIA],"Transferência",T_dados[SUBCATEGORIA],"Saída",T_dados[DATA],"&gt;="&amp;ABR_I,T_dados[DATA],"&lt;="&amp;ABR_F)+SUMIFS(T_dados[VALOR],T_dados[CONTA],"Viagens",T_dados[CATEGORIA],"Transferência",T_dados[SUBCATEGORIA],"Saída",T_dados[DATA],"&gt;="&amp;ABR_I,T_dados[DATA],"&lt;="&amp;ABR_F)</f>
        <v>0</v>
      </c>
      <c r="H68" s="36">
        <f>SUMIFS(T_dados[VALOR],T_dados[CONTA],"Curto",T_dados[CATEGORIA],"Transferência",T_dados[SUBCATEGORIA],"Saída",T_dados[DATA],"&gt;="&amp;MAI_I,T_dados[DATA],"&lt;="&amp;MAI_F)+SUMIFS(T_dados[VALOR],T_dados[CONTA],"Médio",T_dados[CATEGORIA],"Transferência",T_dados[SUBCATEGORIA],"Saída",T_dados[DATA],"&gt;="&amp;MAI_I,T_dados[DATA],"&lt;="&amp;MAI_F)+SUMIFS(T_dados[VALOR],T_dados[CONTA],"Longo",T_dados[CATEGORIA],"Transferência",T_dados[SUBCATEGORIA],"Saída",T_dados[DATA],"&gt;="&amp;MAI_I,T_dados[DATA],"&lt;="&amp;MAI_F)+SUMIFS(T_dados[VALOR],T_dados[CONTA],"Reserva",T_dados[CATEGORIA],"Transferência",T_dados[SUBCATEGORIA],"Saída",T_dados[DATA],"&gt;="&amp;MAI_I,T_dados[DATA],"&lt;="&amp;MAI_F)+SUMIFS(T_dados[VALOR],T_dados[CONTA],"Educação",T_dados[CATEGORIA],"Transferência",T_dados[SUBCATEGORIA],"Saída",T_dados[DATA],"&gt;="&amp;MAI_I,T_dados[DATA],"&lt;="&amp;MAI_F)+SUMIFS(T_dados[VALOR],T_dados[CONTA],"Viagens",T_dados[CATEGORIA],"Transferência",T_dados[SUBCATEGORIA],"Saída",T_dados[DATA],"&gt;="&amp;MAI_I,T_dados[DATA],"&lt;="&amp;MAI_F)</f>
        <v>0</v>
      </c>
      <c r="I68" s="36">
        <f>SUMIFS(T_dados[VALOR],T_dados[CONTA],"Curto",T_dados[CATEGORIA],"Transferência",T_dados[SUBCATEGORIA],"Saída",T_dados[DATA],"&gt;="&amp;JUN_I,T_dados[DATA],"&lt;="&amp;JUN_F)+SUMIFS(T_dados[VALOR],T_dados[CONTA],"Médio",T_dados[CATEGORIA],"Transferência",T_dados[SUBCATEGORIA],"Saída",T_dados[DATA],"&gt;="&amp;JUN_I,T_dados[DATA],"&lt;="&amp;JUN_F)+SUMIFS(T_dados[VALOR],T_dados[CONTA],"Longo",T_dados[CATEGORIA],"Transferência",T_dados[SUBCATEGORIA],"Saída",T_dados[DATA],"&gt;="&amp;JUN_I,T_dados[DATA],"&lt;="&amp;JUN_F)+SUMIFS(T_dados[VALOR],T_dados[CONTA],"Reserva",T_dados[CATEGORIA],"Transferência",T_dados[SUBCATEGORIA],"Saída",T_dados[DATA],"&gt;="&amp;JUN_I,T_dados[DATA],"&lt;="&amp;JUN_F)+SUMIFS(T_dados[VALOR],T_dados[CONTA],"Educação",T_dados[CATEGORIA],"Transferência",T_dados[SUBCATEGORIA],"Saída",T_dados[DATA],"&gt;="&amp;JUN_I,T_dados[DATA],"&lt;="&amp;JUN_F)+SUMIFS(T_dados[VALOR],T_dados[CONTA],"Viagens",T_dados[CATEGORIA],"Transferência",T_dados[SUBCATEGORIA],"Saída",T_dados[DATA],"&gt;="&amp;JUN_I,T_dados[DATA],"&lt;="&amp;JUN_F)</f>
        <v>0</v>
      </c>
      <c r="J68" s="36">
        <f>SUMIFS(T_dados[VALOR],T_dados[CONTA],"Curto",T_dados[CATEGORIA],"Transferência",T_dados[SUBCATEGORIA],"Saída",T_dados[DATA],"&gt;="&amp;JUL_I,T_dados[DATA],"&lt;="&amp;JUL_F)+SUMIFS(T_dados[VALOR],T_dados[CONTA],"Médio",T_dados[CATEGORIA],"Transferência",T_dados[SUBCATEGORIA],"Saída",T_dados[DATA],"&gt;="&amp;JUL_I,T_dados[DATA],"&lt;="&amp;JUL_F)+SUMIFS(T_dados[VALOR],T_dados[CONTA],"Longo",T_dados[CATEGORIA],"Transferência",T_dados[SUBCATEGORIA],"Saída",T_dados[DATA],"&gt;="&amp;JUL_I,T_dados[DATA],"&lt;="&amp;JUL_F)+SUMIFS(T_dados[VALOR],T_dados[CONTA],"Reserva",T_dados[CATEGORIA],"Transferência",T_dados[SUBCATEGORIA],"Saída",T_dados[DATA],"&gt;="&amp;JUL_I,T_dados[DATA],"&lt;="&amp;JUL_F)+SUMIFS(T_dados[VALOR],T_dados[CONTA],"Educação",T_dados[CATEGORIA],"Transferência",T_dados[SUBCATEGORIA],"Saída",T_dados[DATA],"&gt;="&amp;JUL_I,T_dados[DATA],"&lt;="&amp;JUL_F)+SUMIFS(T_dados[VALOR],T_dados[CONTA],"Viagens",T_dados[CATEGORIA],"Transferência",T_dados[SUBCATEGORIA],"Saída",T_dados[DATA],"&gt;="&amp;JUL_I,T_dados[DATA],"&lt;="&amp;JUL_F)</f>
        <v>0</v>
      </c>
      <c r="K68" s="36">
        <f>SUMIFS(T_dados[VALOR],T_dados[CONTA],"Curto",T_dados[CATEGORIA],"Transferência",T_dados[SUBCATEGORIA],"Saída",T_dados[DATA],"&gt;="&amp;AGO_I,T_dados[DATA],"&lt;="&amp;AGO_F)+SUMIFS(T_dados[VALOR],T_dados[CONTA],"Médio",T_dados[CATEGORIA],"Transferência",T_dados[SUBCATEGORIA],"Saída",T_dados[DATA],"&gt;="&amp;AGO_I,T_dados[DATA],"&lt;="&amp;AGO_F)+SUMIFS(T_dados[VALOR],T_dados[CONTA],"Longo",T_dados[CATEGORIA],"Transferência",T_dados[SUBCATEGORIA],"Saída",T_dados[DATA],"&gt;="&amp;AGO_I,T_dados[DATA],"&lt;="&amp;AGO_F)+SUMIFS(T_dados[VALOR],T_dados[CONTA],"Reserva",T_dados[CATEGORIA],"Transferência",T_dados[SUBCATEGORIA],"Saída",T_dados[DATA],"&gt;="&amp;AGO_I,T_dados[DATA],"&lt;="&amp;AGO_F)+SUMIFS(T_dados[VALOR],T_dados[CONTA],"Educação",T_dados[CATEGORIA],"Transferência",T_dados[SUBCATEGORIA],"Saída",T_dados[DATA],"&gt;="&amp;AGO_I,T_dados[DATA],"&lt;="&amp;AGO_F)+SUMIFS(T_dados[VALOR],T_dados[CONTA],"Viagens",T_dados[CATEGORIA],"Transferência",T_dados[SUBCATEGORIA],"Saída",T_dados[DATA],"&gt;="&amp;AGO_I,T_dados[DATA],"&lt;="&amp;AGO_F)</f>
        <v>0</v>
      </c>
      <c r="L68" s="36">
        <f>SUMIFS(T_dados[VALOR],T_dados[CONTA],"Curto",T_dados[CATEGORIA],"Transferência",T_dados[SUBCATEGORIA],"Saída",T_dados[DATA],"&gt;="&amp;SET_I,T_dados[DATA],"&lt;="&amp;SET_F)+SUMIFS(T_dados[VALOR],T_dados[CONTA],"Médio",T_dados[CATEGORIA],"Transferência",T_dados[SUBCATEGORIA],"Saída",T_dados[DATA],"&gt;="&amp;SET_I,T_dados[DATA],"&lt;="&amp;SET_F)+SUMIFS(T_dados[VALOR],T_dados[CONTA],"Longo",T_dados[CATEGORIA],"Transferência",T_dados[SUBCATEGORIA],"Saída",T_dados[DATA],"&gt;="&amp;SET_I,T_dados[DATA],"&lt;="&amp;SET_F)+SUMIFS(T_dados[VALOR],T_dados[CONTA],"Reserva",T_dados[CATEGORIA],"Transferência",T_dados[SUBCATEGORIA],"Saída",T_dados[DATA],"&gt;="&amp;SET_I,T_dados[DATA],"&lt;="&amp;SET_F)+SUMIFS(T_dados[VALOR],T_dados[CONTA],"Educação",T_dados[CATEGORIA],"Transferência",T_dados[SUBCATEGORIA],"Saída",T_dados[DATA],"&gt;="&amp;SET_I,T_dados[DATA],"&lt;="&amp;SET_F)+SUMIFS(T_dados[VALOR],T_dados[CONTA],"Viagens",T_dados[CATEGORIA],"Transferência",T_dados[SUBCATEGORIA],"Saída",T_dados[DATA],"&gt;="&amp;SET_I,T_dados[DATA],"&lt;="&amp;SET_F)</f>
        <v>0</v>
      </c>
      <c r="M68" s="36">
        <f>SUMIFS(T_dados[VALOR],T_dados[CONTA],"Curto",T_dados[CATEGORIA],"Transferência",T_dados[SUBCATEGORIA],"Saída",T_dados[DATA],"&gt;="&amp;OUT_I,T_dados[DATA],"&lt;="&amp;OUT_F)+SUMIFS(T_dados[VALOR],T_dados[CONTA],"Médio",T_dados[CATEGORIA],"Transferência",T_dados[SUBCATEGORIA],"Saída",T_dados[DATA],"&gt;="&amp;OUT_I,T_dados[DATA],"&lt;="&amp;OUT_F)+SUMIFS(T_dados[VALOR],T_dados[CONTA],"Longo",T_dados[CATEGORIA],"Transferência",T_dados[SUBCATEGORIA],"Saída",T_dados[DATA],"&gt;="&amp;OUT_I,T_dados[DATA],"&lt;="&amp;OUT_F)+SUMIFS(T_dados[VALOR],T_dados[CONTA],"Reserva",T_dados[CATEGORIA],"Transferência",T_dados[SUBCATEGORIA],"Saída",T_dados[DATA],"&gt;="&amp;OUT_I,T_dados[DATA],"&lt;="&amp;OUT_F)+SUMIFS(T_dados[VALOR],T_dados[CONTA],"Educação",T_dados[CATEGORIA],"Transferência",T_dados[SUBCATEGORIA],"Saída",T_dados[DATA],"&gt;="&amp;OUT_I,T_dados[DATA],"&lt;="&amp;OUT_F)+SUMIFS(T_dados[VALOR],T_dados[CONTA],"Viagens",T_dados[CATEGORIA],"Transferência",T_dados[SUBCATEGORIA],"Saída",T_dados[DATA],"&gt;="&amp;OUT_I,T_dados[DATA],"&lt;="&amp;OUT_F)</f>
        <v>0</v>
      </c>
      <c r="N68" s="36">
        <f>SUMIFS(T_dados[VALOR],T_dados[CONTA],"Curto",T_dados[CATEGORIA],"Transferência",T_dados[SUBCATEGORIA],"Saída",T_dados[DATA],"&gt;="&amp;NOV_I,T_dados[DATA],"&lt;="&amp;NOV_F)+SUMIFS(T_dados[VALOR],T_dados[CONTA],"Médio",T_dados[CATEGORIA],"Transferência",T_dados[SUBCATEGORIA],"Saída",T_dados[DATA],"&gt;="&amp;NOV_I,T_dados[DATA],"&lt;="&amp;NOV_F)+SUMIFS(T_dados[VALOR],T_dados[CONTA],"Longo",T_dados[CATEGORIA],"Transferência",T_dados[SUBCATEGORIA],"Saída",T_dados[DATA],"&gt;="&amp;NOV_I,T_dados[DATA],"&lt;="&amp;NOV_F)+SUMIFS(T_dados[VALOR],T_dados[CONTA],"Reserva",T_dados[CATEGORIA],"Transferência",T_dados[SUBCATEGORIA],"Saída",T_dados[DATA],"&gt;="&amp;NOV_I,T_dados[DATA],"&lt;="&amp;NOV_F)+SUMIFS(T_dados[VALOR],T_dados[CONTA],"Educação",T_dados[CATEGORIA],"Transferência",T_dados[SUBCATEGORIA],"Saída",T_dados[DATA],"&gt;="&amp;NOV_I,T_dados[DATA],"&lt;="&amp;NOV_F)+SUMIFS(T_dados[VALOR],T_dados[CONTA],"Viagens",T_dados[CATEGORIA],"Transferência",T_dados[SUBCATEGORIA],"Saída",T_dados[DATA],"&gt;="&amp;NOV_I,T_dados[DATA],"&lt;="&amp;NOV_F)</f>
        <v>0</v>
      </c>
      <c r="O68" s="36">
        <f>SUMIFS(T_dados[VALOR],T_dados[CONTA],"Curto",T_dados[CATEGORIA],"Transferência",T_dados[SUBCATEGORIA],"Saída",T_dados[DATA],"&gt;="&amp;DEZ_I,T_dados[DATA],"&lt;="&amp;DEZ_F)+SUMIFS(T_dados[VALOR],T_dados[CONTA],"Médio",T_dados[CATEGORIA],"Transferência",T_dados[SUBCATEGORIA],"Saída",T_dados[DATA],"&gt;="&amp;DEZ_I,T_dados[DATA],"&lt;="&amp;DEZ_F)+SUMIFS(T_dados[VALOR],T_dados[CONTA],"Longo",T_dados[CATEGORIA],"Transferência",T_dados[SUBCATEGORIA],"Saída",T_dados[DATA],"&gt;="&amp;DEZ_I,T_dados[DATA],"&lt;="&amp;DEZ_F)+SUMIFS(T_dados[VALOR],T_dados[CONTA],"Reserva",T_dados[CATEGORIA],"Transferência",T_dados[SUBCATEGORIA],"Saída",T_dados[DATA],"&gt;="&amp;DEZ_I,T_dados[DATA],"&lt;="&amp;DEZ_F)+SUMIFS(T_dados[VALOR],T_dados[CONTA],"Educação",T_dados[CATEGORIA],"Transferência",T_dados[SUBCATEGORIA],"Saída",T_dados[DATA],"&gt;="&amp;DEZ_I,T_dados[DATA],"&lt;="&amp;DEZ_F)+SUMIFS(T_dados[VALOR],T_dados[CONTA],"Viagens",T_dados[CATEGORIA],"Transferência",T_dados[SUBCATEGORIA],"Saída",T_dados[DATA],"&gt;="&amp;DEZ_I,T_dados[DATA],"&lt;="&amp;DEZ_F)</f>
        <v>0</v>
      </c>
      <c r="Q68" s="39">
        <f>Orçamento!B48*12</f>
        <v>0</v>
      </c>
      <c r="R68" s="39">
        <f>SUM(D68:O68)</f>
        <v>0</v>
      </c>
      <c r="T68" s="139"/>
    </row>
    <row r="69" spans="1:20" x14ac:dyDescent="0.25">
      <c r="T69" s="139"/>
    </row>
    <row r="70" spans="1:20" ht="26.25" x14ac:dyDescent="0.4">
      <c r="A70" s="140" t="s">
        <v>101</v>
      </c>
      <c r="B70" s="140"/>
      <c r="C70" s="140"/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39"/>
    </row>
    <row r="71" spans="1:20" x14ac:dyDescent="0.25">
      <c r="B71" s="19" t="s">
        <v>104</v>
      </c>
      <c r="T71" s="139"/>
    </row>
    <row r="72" spans="1:20" x14ac:dyDescent="0.25">
      <c r="B72" s="16" t="s">
        <v>41</v>
      </c>
      <c r="D72" s="40">
        <f t="shared" ref="D72:O72" si="0">SUM(D7:D12)</f>
        <v>0</v>
      </c>
      <c r="E72" s="40">
        <f t="shared" si="0"/>
        <v>0</v>
      </c>
      <c r="F72" s="40">
        <f t="shared" si="0"/>
        <v>0</v>
      </c>
      <c r="G72" s="40">
        <f t="shared" si="0"/>
        <v>0</v>
      </c>
      <c r="H72" s="40">
        <f t="shared" si="0"/>
        <v>0</v>
      </c>
      <c r="I72" s="40">
        <f t="shared" si="0"/>
        <v>0</v>
      </c>
      <c r="J72" s="40">
        <f t="shared" si="0"/>
        <v>0</v>
      </c>
      <c r="K72" s="40">
        <f t="shared" si="0"/>
        <v>0</v>
      </c>
      <c r="L72" s="40">
        <f t="shared" si="0"/>
        <v>0</v>
      </c>
      <c r="M72" s="40">
        <f t="shared" si="0"/>
        <v>0</v>
      </c>
      <c r="N72" s="40">
        <f t="shared" si="0"/>
        <v>0</v>
      </c>
      <c r="O72" s="40">
        <f t="shared" si="0"/>
        <v>0</v>
      </c>
      <c r="P72" s="41"/>
      <c r="Q72" s="39">
        <f>SUM(Q7:Q12)</f>
        <v>0</v>
      </c>
      <c r="R72" s="39">
        <f>SUM(R7:R12)</f>
        <v>0</v>
      </c>
      <c r="T72" s="139"/>
    </row>
    <row r="73" spans="1:20" x14ac:dyDescent="0.25">
      <c r="B73" s="17" t="s">
        <v>99</v>
      </c>
      <c r="D73" s="44">
        <f t="shared" ref="D73:O73" si="1">SUM(D16:D63)</f>
        <v>0</v>
      </c>
      <c r="E73" s="44">
        <f t="shared" si="1"/>
        <v>0</v>
      </c>
      <c r="F73" s="44">
        <f t="shared" si="1"/>
        <v>0</v>
      </c>
      <c r="G73" s="44">
        <f t="shared" si="1"/>
        <v>0</v>
      </c>
      <c r="H73" s="44">
        <f t="shared" si="1"/>
        <v>0</v>
      </c>
      <c r="I73" s="44">
        <f t="shared" si="1"/>
        <v>0</v>
      </c>
      <c r="J73" s="44">
        <f t="shared" si="1"/>
        <v>0</v>
      </c>
      <c r="K73" s="44">
        <f t="shared" si="1"/>
        <v>0</v>
      </c>
      <c r="L73" s="44">
        <f t="shared" si="1"/>
        <v>0</v>
      </c>
      <c r="M73" s="44">
        <f t="shared" si="1"/>
        <v>0</v>
      </c>
      <c r="N73" s="44">
        <f t="shared" si="1"/>
        <v>0</v>
      </c>
      <c r="O73" s="44">
        <f t="shared" si="1"/>
        <v>0</v>
      </c>
      <c r="P73" s="41"/>
      <c r="Q73" s="39">
        <f>SUM(Q16:Q63)</f>
        <v>0</v>
      </c>
      <c r="R73" s="39">
        <f>SUM(R16:R63)</f>
        <v>0</v>
      </c>
      <c r="T73" s="139"/>
    </row>
    <row r="74" spans="1:20" x14ac:dyDescent="0.25">
      <c r="B74" s="17" t="s">
        <v>100</v>
      </c>
      <c r="D74" s="42">
        <f>D67-D68</f>
        <v>0</v>
      </c>
      <c r="E74" s="42">
        <f t="shared" ref="E74:O74" si="2">E67-E68</f>
        <v>0</v>
      </c>
      <c r="F74" s="42">
        <f t="shared" si="2"/>
        <v>0</v>
      </c>
      <c r="G74" s="42">
        <f t="shared" si="2"/>
        <v>0</v>
      </c>
      <c r="H74" s="42">
        <f t="shared" si="2"/>
        <v>0</v>
      </c>
      <c r="I74" s="42">
        <f t="shared" si="2"/>
        <v>0</v>
      </c>
      <c r="J74" s="42">
        <f t="shared" si="2"/>
        <v>0</v>
      </c>
      <c r="K74" s="42">
        <f t="shared" si="2"/>
        <v>0</v>
      </c>
      <c r="L74" s="42">
        <f t="shared" si="2"/>
        <v>0</v>
      </c>
      <c r="M74" s="42">
        <f t="shared" si="2"/>
        <v>0</v>
      </c>
      <c r="N74" s="42">
        <f t="shared" si="2"/>
        <v>0</v>
      </c>
      <c r="O74" s="42">
        <f t="shared" si="2"/>
        <v>0</v>
      </c>
      <c r="P74" s="41"/>
      <c r="Q74" s="47">
        <f>Q67-Q68</f>
        <v>0</v>
      </c>
      <c r="R74" s="47">
        <f>R67-R68</f>
        <v>0</v>
      </c>
      <c r="T74" s="139"/>
    </row>
    <row r="75" spans="1:20" x14ac:dyDescent="0.25">
      <c r="B75" s="45" t="s">
        <v>103</v>
      </c>
      <c r="D75" s="46">
        <f>D72-D73</f>
        <v>0</v>
      </c>
      <c r="E75" s="46">
        <f t="shared" ref="E75:O75" si="3">E72-E73</f>
        <v>0</v>
      </c>
      <c r="F75" s="46">
        <f t="shared" si="3"/>
        <v>0</v>
      </c>
      <c r="G75" s="46">
        <f t="shared" si="3"/>
        <v>0</v>
      </c>
      <c r="H75" s="46">
        <f t="shared" si="3"/>
        <v>0</v>
      </c>
      <c r="I75" s="46">
        <f t="shared" si="3"/>
        <v>0</v>
      </c>
      <c r="J75" s="46">
        <f t="shared" si="3"/>
        <v>0</v>
      </c>
      <c r="K75" s="46">
        <f t="shared" si="3"/>
        <v>0</v>
      </c>
      <c r="L75" s="46">
        <f t="shared" si="3"/>
        <v>0</v>
      </c>
      <c r="M75" s="46">
        <f t="shared" si="3"/>
        <v>0</v>
      </c>
      <c r="N75" s="46">
        <f t="shared" si="3"/>
        <v>0</v>
      </c>
      <c r="O75" s="46">
        <f t="shared" si="3"/>
        <v>0</v>
      </c>
      <c r="P75" s="41"/>
      <c r="Q75" s="46">
        <f>Q72-Q73-Q74</f>
        <v>0</v>
      </c>
      <c r="R75" s="46">
        <f>R72-R73-R74</f>
        <v>0</v>
      </c>
      <c r="T75" s="139"/>
    </row>
    <row r="76" spans="1:20" x14ac:dyDescent="0.25">
      <c r="B76" s="20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T76" s="139"/>
    </row>
    <row r="77" spans="1:20" x14ac:dyDescent="0.25">
      <c r="A77" s="139"/>
      <c r="B77" s="139"/>
      <c r="C77" s="139"/>
      <c r="D77" s="139"/>
      <c r="E77" s="139"/>
      <c r="F77" s="139"/>
      <c r="G77" s="139"/>
      <c r="H77" s="139"/>
      <c r="I77" s="139"/>
      <c r="J77" s="139"/>
      <c r="K77" s="139"/>
      <c r="L77" s="139"/>
      <c r="M77" s="139"/>
      <c r="N77" s="139"/>
      <c r="O77" s="139"/>
      <c r="P77" s="139"/>
      <c r="Q77" s="139"/>
      <c r="R77" s="139"/>
      <c r="S77" s="139"/>
      <c r="T77" s="139"/>
    </row>
  </sheetData>
  <sheetProtection algorithmName="SHA-512" hashValue="vDGoCwnKQjHrHqr5vRGeXHpTSyIhJAtBligN6sdDCO6ZpiB7CtPa3oAWjlfWvRjVXxIfu5Gq98m4sVupbpZuRA==" saltValue="omv7Mq6vBxl8n8kBPXUDQg==" spinCount="100000" sheet="1" objects="1" scenarios="1"/>
  <mergeCells count="28">
    <mergeCell ref="D2:O2"/>
    <mergeCell ref="Q2:R2"/>
    <mergeCell ref="A5:S5"/>
    <mergeCell ref="A14:S14"/>
    <mergeCell ref="Q7:Q12"/>
    <mergeCell ref="R7:R12"/>
    <mergeCell ref="Q16:Q23"/>
    <mergeCell ref="R16:R23"/>
    <mergeCell ref="Q25:Q27"/>
    <mergeCell ref="R25:R27"/>
    <mergeCell ref="Q29:Q33"/>
    <mergeCell ref="R29:R33"/>
    <mergeCell ref="A77:S77"/>
    <mergeCell ref="T1:T77"/>
    <mergeCell ref="A65:S65"/>
    <mergeCell ref="A70:S70"/>
    <mergeCell ref="Q49:Q52"/>
    <mergeCell ref="R49:R52"/>
    <mergeCell ref="Q54:Q57"/>
    <mergeCell ref="R54:R57"/>
    <mergeCell ref="Q59:Q63"/>
    <mergeCell ref="R59:R63"/>
    <mergeCell ref="Q35:Q37"/>
    <mergeCell ref="R35:R37"/>
    <mergeCell ref="Q39:Q43"/>
    <mergeCell ref="R39:R43"/>
    <mergeCell ref="Q45:Q47"/>
    <mergeCell ref="R45:R47"/>
  </mergeCells>
  <phoneticPr fontId="6" type="noConversion"/>
  <conditionalFormatting sqref="D76:R76 D75:O75 Q75:R75">
    <cfRule type="cellIs" dxfId="168" priority="1" operator="lessThan">
      <formula>0</formula>
    </cfRule>
    <cfRule type="cellIs" dxfId="167" priority="2" operator="greaterThan">
      <formula>0</formula>
    </cfRule>
  </conditionalFormatting>
  <pageMargins left="0.7" right="0.7" top="0.75" bottom="0.75" header="0.3" footer="0.3"/>
  <pageSetup paperSize="9" scale="33" orientation="portrait" horizontalDpi="300" verticalDpi="0" r:id="rId1"/>
  <ignoredErrors>
    <ignoredError sqref="F6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5D428-FCF5-473B-85B9-6ECF8B522E7B}">
  <sheetPr codeName="Sheet5"/>
  <dimension ref="A1:G2"/>
  <sheetViews>
    <sheetView showGridLines="0" zoomScaleNormal="100" workbookViewId="0">
      <pane ySplit="1" topLeftCell="A2" activePane="bottomLeft" state="frozen"/>
      <selection pane="bottomLeft" activeCell="E244" sqref="E244"/>
    </sheetView>
  </sheetViews>
  <sheetFormatPr defaultColWidth="0" defaultRowHeight="15" x14ac:dyDescent="0.25"/>
  <cols>
    <col min="1" max="1" width="20.7109375" customWidth="1"/>
    <col min="2" max="2" width="17.5703125" customWidth="1"/>
    <col min="3" max="3" width="22.140625" customWidth="1"/>
    <col min="4" max="4" width="38.7109375" customWidth="1"/>
    <col min="5" max="5" width="19.140625" customWidth="1"/>
    <col min="6" max="6" width="17.42578125" customWidth="1"/>
    <col min="7" max="7" width="25.42578125" customWidth="1"/>
    <col min="8" max="16384" width="9.140625" hidden="1"/>
  </cols>
  <sheetData>
    <row r="1" spans="1:6" ht="31.5" customHeight="1" x14ac:dyDescent="0.25">
      <c r="A1" s="4" t="s">
        <v>109</v>
      </c>
      <c r="B1" s="4" t="s">
        <v>107</v>
      </c>
      <c r="C1" s="4" t="s">
        <v>108</v>
      </c>
      <c r="D1" s="4" t="s">
        <v>144</v>
      </c>
      <c r="E1" s="4" t="s">
        <v>143</v>
      </c>
      <c r="F1" s="4" t="s">
        <v>142</v>
      </c>
    </row>
    <row r="2" spans="1:6" x14ac:dyDescent="0.25">
      <c r="A2" s="92"/>
      <c r="B2" s="93"/>
      <c r="C2" s="93"/>
      <c r="D2" s="93"/>
      <c r="E2" s="94"/>
      <c r="F2" s="95"/>
    </row>
  </sheetData>
  <protectedRanges>
    <protectedRange sqref="A2:F9739" name="Dados"/>
  </protectedRanges>
  <phoneticPr fontId="6" type="noConversion"/>
  <dataValidations count="3">
    <dataValidation type="list" allowBlank="1" showInputMessage="1" showErrorMessage="1" sqref="A2" xr:uid="{3E93383F-109F-44B4-84DE-25645C2501E1}">
      <formula1>Lista_Conta</formula1>
    </dataValidation>
    <dataValidation type="list" allowBlank="1" showInputMessage="1" showErrorMessage="1" sqref="B2" xr:uid="{E6AD5B74-A554-4D49-9059-EEFFD8B9D736}">
      <formula1>Lista_Categoria</formula1>
    </dataValidation>
    <dataValidation type="list" allowBlank="1" showInputMessage="1" showErrorMessage="1" sqref="C2" xr:uid="{3F3E5FB2-FAFC-4F6A-806F-83F6DBC69849}">
      <formula1>INDIRECT($B2)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C1563-EF3F-49E7-A681-66BE099C0FE5}">
  <sheetPr codeName="Sheet3"/>
  <dimension ref="A1:Q51"/>
  <sheetViews>
    <sheetView showGridLines="0" showWhiteSpace="0" zoomScaleNormal="100" zoomScaleSheetLayoutView="104" workbookViewId="0">
      <selection activeCell="I39" sqref="I39"/>
    </sheetView>
  </sheetViews>
  <sheetFormatPr defaultColWidth="0" defaultRowHeight="15" zeroHeight="1" x14ac:dyDescent="0.25"/>
  <cols>
    <col min="1" max="1" width="21.28515625" customWidth="1"/>
    <col min="2" max="2" width="13.28515625" customWidth="1"/>
    <col min="3" max="3" width="13.85546875" customWidth="1"/>
    <col min="4" max="4" width="11.85546875" customWidth="1"/>
    <col min="5" max="8" width="2.7109375" customWidth="1"/>
    <col min="9" max="9" width="27.7109375" bestFit="1" customWidth="1"/>
    <col min="10" max="10" width="18.85546875" customWidth="1"/>
    <col min="11" max="14" width="2.7109375" hidden="1" customWidth="1"/>
    <col min="15" max="16" width="9.140625" hidden="1" customWidth="1"/>
    <col min="17" max="17" width="12.140625" hidden="1" customWidth="1"/>
    <col min="18" max="16384" width="9.140625" hidden="1"/>
  </cols>
  <sheetData>
    <row r="1" spans="1:17" x14ac:dyDescent="0.25">
      <c r="A1" s="152" t="s">
        <v>23</v>
      </c>
      <c r="B1" s="152"/>
      <c r="C1" s="152"/>
      <c r="I1" s="152" t="s">
        <v>37</v>
      </c>
      <c r="J1" s="152"/>
    </row>
    <row r="2" spans="1:17" x14ac:dyDescent="0.25">
      <c r="A2" s="169"/>
      <c r="B2" s="169"/>
      <c r="C2" s="169"/>
    </row>
    <row r="3" spans="1:17" x14ac:dyDescent="0.25">
      <c r="I3" s="69" t="s">
        <v>38</v>
      </c>
      <c r="J3" s="62"/>
    </row>
    <row r="4" spans="1:17" x14ac:dyDescent="0.25">
      <c r="A4" s="152" t="s">
        <v>2</v>
      </c>
      <c r="B4" s="152"/>
      <c r="C4" s="152"/>
    </row>
    <row r="5" spans="1:17" x14ac:dyDescent="0.25">
      <c r="A5" s="168" t="s">
        <v>25</v>
      </c>
      <c r="B5" s="168"/>
      <c r="C5" s="60">
        <v>0.6</v>
      </c>
      <c r="I5" s="10" t="s">
        <v>39</v>
      </c>
      <c r="J5" s="10" t="s">
        <v>40</v>
      </c>
    </row>
    <row r="6" spans="1:17" x14ac:dyDescent="0.25">
      <c r="A6" s="168" t="s">
        <v>3</v>
      </c>
      <c r="B6" s="168"/>
      <c r="C6" s="60">
        <v>0.4</v>
      </c>
      <c r="I6" s="6" t="s">
        <v>33</v>
      </c>
      <c r="J6" s="9">
        <f>$C$6*$J$3*C31</f>
        <v>0</v>
      </c>
    </row>
    <row r="7" spans="1:17" x14ac:dyDescent="0.25">
      <c r="I7" s="11" t="s">
        <v>34</v>
      </c>
      <c r="J7" s="12">
        <f>$C$6*$J$3*C32</f>
        <v>0</v>
      </c>
    </row>
    <row r="8" spans="1:17" x14ac:dyDescent="0.25">
      <c r="A8" s="152" t="s">
        <v>26</v>
      </c>
      <c r="B8" s="152"/>
      <c r="C8" s="61">
        <v>6</v>
      </c>
      <c r="I8" s="6" t="s">
        <v>35</v>
      </c>
      <c r="J8" s="9">
        <f>$C$6*$J$3*C33</f>
        <v>0</v>
      </c>
    </row>
    <row r="9" spans="1:17" x14ac:dyDescent="0.25">
      <c r="A9" s="171">
        <f>IF(A11="Não",(SUM(B39:B42)+B47)*C8,(SUM(B39:B47)*C8))</f>
        <v>0</v>
      </c>
      <c r="B9" s="171"/>
      <c r="C9" s="171"/>
      <c r="I9" s="11" t="s">
        <v>36</v>
      </c>
      <c r="J9" s="12">
        <f>$C$6*$J$3*C34</f>
        <v>0</v>
      </c>
    </row>
    <row r="10" spans="1:17" x14ac:dyDescent="0.25">
      <c r="A10" s="164" t="s">
        <v>150</v>
      </c>
      <c r="B10" s="164"/>
      <c r="C10" s="164"/>
      <c r="I10" s="6" t="s">
        <v>111</v>
      </c>
      <c r="J10" s="9">
        <f>B25*C5*J3</f>
        <v>0</v>
      </c>
    </row>
    <row r="11" spans="1:17" x14ac:dyDescent="0.25">
      <c r="A11" s="165" t="s">
        <v>205</v>
      </c>
      <c r="B11" s="166"/>
      <c r="C11" s="167"/>
      <c r="I11" s="11" t="s">
        <v>15</v>
      </c>
      <c r="J11" s="13">
        <f>B28*C5*J3</f>
        <v>0</v>
      </c>
      <c r="Q11" s="58"/>
    </row>
    <row r="12" spans="1:17" x14ac:dyDescent="0.25"/>
    <row r="13" spans="1:17" x14ac:dyDescent="0.25">
      <c r="A13" s="157" t="s">
        <v>31</v>
      </c>
      <c r="B13" s="157"/>
      <c r="C13" s="157"/>
      <c r="D13" s="157"/>
    </row>
    <row r="14" spans="1:17" x14ac:dyDescent="0.25">
      <c r="A14" s="172" t="s">
        <v>4</v>
      </c>
      <c r="B14" s="172"/>
      <c r="C14" s="172"/>
      <c r="D14" s="155">
        <f>C15+C21+C24+C28</f>
        <v>0.99999999999999989</v>
      </c>
    </row>
    <row r="15" spans="1:17" x14ac:dyDescent="0.25">
      <c r="A15" s="6" t="s">
        <v>6</v>
      </c>
      <c r="B15" s="60">
        <v>0.4</v>
      </c>
      <c r="C15" s="162">
        <f>SUM(B15:B19)</f>
        <v>0.84</v>
      </c>
      <c r="D15" s="156"/>
      <c r="I15" s="55" t="s">
        <v>164</v>
      </c>
      <c r="J15" s="55" t="s">
        <v>174</v>
      </c>
    </row>
    <row r="16" spans="1:17" x14ac:dyDescent="0.25">
      <c r="A16" s="6" t="s">
        <v>8</v>
      </c>
      <c r="B16" s="60">
        <v>0.3</v>
      </c>
      <c r="C16" s="162"/>
      <c r="D16" s="156"/>
      <c r="I16" s="73" t="s">
        <v>120</v>
      </c>
      <c r="J16" s="59"/>
    </row>
    <row r="17" spans="1:17" x14ac:dyDescent="0.25">
      <c r="A17" s="6" t="s">
        <v>10</v>
      </c>
      <c r="B17" s="60">
        <v>0.1</v>
      </c>
      <c r="C17" s="162"/>
      <c r="D17" s="156"/>
      <c r="I17" s="73" t="s">
        <v>145</v>
      </c>
      <c r="J17" s="59"/>
    </row>
    <row r="18" spans="1:17" x14ac:dyDescent="0.25">
      <c r="A18" s="6" t="s">
        <v>12</v>
      </c>
      <c r="B18" s="60">
        <v>0.03</v>
      </c>
      <c r="C18" s="162"/>
      <c r="D18" s="156"/>
      <c r="I18" s="73" t="s">
        <v>146</v>
      </c>
      <c r="J18" s="59"/>
    </row>
    <row r="19" spans="1:17" x14ac:dyDescent="0.25">
      <c r="A19" s="6" t="s">
        <v>14</v>
      </c>
      <c r="B19" s="60">
        <v>0.01</v>
      </c>
      <c r="C19" s="162"/>
      <c r="D19" s="156"/>
      <c r="I19" s="73" t="s">
        <v>147</v>
      </c>
      <c r="J19" s="59"/>
    </row>
    <row r="20" spans="1:17" x14ac:dyDescent="0.25">
      <c r="A20" s="170" t="s">
        <v>27</v>
      </c>
      <c r="B20" s="170"/>
      <c r="C20" s="170"/>
      <c r="D20" s="156"/>
    </row>
    <row r="21" spans="1:17" x14ac:dyDescent="0.25">
      <c r="A21" s="6" t="s">
        <v>28</v>
      </c>
      <c r="B21" s="60">
        <v>0.03</v>
      </c>
      <c r="C21" s="161">
        <f>SUM(B21:B22)</f>
        <v>0.06</v>
      </c>
      <c r="D21" s="156"/>
      <c r="Q21" s="58"/>
    </row>
    <row r="22" spans="1:17" x14ac:dyDescent="0.25">
      <c r="A22" s="6" t="s">
        <v>20</v>
      </c>
      <c r="B22" s="60">
        <v>0.03</v>
      </c>
      <c r="C22" s="161"/>
      <c r="D22" s="156"/>
      <c r="I22" s="55" t="s">
        <v>170</v>
      </c>
    </row>
    <row r="23" spans="1:17" x14ac:dyDescent="0.25">
      <c r="A23" s="159" t="s">
        <v>19</v>
      </c>
      <c r="B23" s="159"/>
      <c r="C23" s="159"/>
      <c r="D23" s="156"/>
      <c r="I23" s="73" t="s">
        <v>165</v>
      </c>
    </row>
    <row r="24" spans="1:17" x14ac:dyDescent="0.25">
      <c r="A24" s="6" t="s">
        <v>29</v>
      </c>
      <c r="B24" s="60">
        <v>0.03</v>
      </c>
      <c r="C24" s="163">
        <f>SUM(B24:B26)</f>
        <v>0.08</v>
      </c>
      <c r="D24" s="156"/>
      <c r="I24" s="73" t="s">
        <v>166</v>
      </c>
    </row>
    <row r="25" spans="1:17" x14ac:dyDescent="0.25">
      <c r="A25" s="6" t="s">
        <v>17</v>
      </c>
      <c r="B25" s="60">
        <v>0</v>
      </c>
      <c r="C25" s="163"/>
      <c r="D25" s="156"/>
      <c r="I25" s="73" t="s">
        <v>167</v>
      </c>
    </row>
    <row r="26" spans="1:17" x14ac:dyDescent="0.25">
      <c r="A26" s="6" t="s">
        <v>20</v>
      </c>
      <c r="B26" s="60">
        <v>0.05</v>
      </c>
      <c r="C26" s="163"/>
      <c r="D26" s="156"/>
    </row>
    <row r="27" spans="1:17" x14ac:dyDescent="0.25">
      <c r="A27" s="160" t="s">
        <v>15</v>
      </c>
      <c r="B27" s="160"/>
      <c r="C27" s="160"/>
      <c r="D27" s="156"/>
    </row>
    <row r="28" spans="1:17" x14ac:dyDescent="0.25">
      <c r="A28" s="6" t="s">
        <v>18</v>
      </c>
      <c r="B28" s="60">
        <v>0.02</v>
      </c>
      <c r="C28" s="8">
        <f>SUM(B28)</f>
        <v>0.02</v>
      </c>
      <c r="D28" s="156"/>
      <c r="I28" s="10" t="s">
        <v>3</v>
      </c>
      <c r="J28" s="10" t="s">
        <v>174</v>
      </c>
    </row>
    <row r="29" spans="1:17" x14ac:dyDescent="0.25">
      <c r="I29" s="6" t="s">
        <v>33</v>
      </c>
      <c r="J29" s="59"/>
    </row>
    <row r="30" spans="1:17" x14ac:dyDescent="0.25">
      <c r="A30" s="158" t="s">
        <v>32</v>
      </c>
      <c r="B30" s="158"/>
      <c r="C30" s="158"/>
      <c r="D30" s="158"/>
      <c r="I30" s="11" t="s">
        <v>34</v>
      </c>
      <c r="J30" s="59"/>
    </row>
    <row r="31" spans="1:17" x14ac:dyDescent="0.25">
      <c r="A31" s="153" t="s">
        <v>33</v>
      </c>
      <c r="B31" s="153"/>
      <c r="C31" s="60">
        <v>0.15</v>
      </c>
      <c r="D31" s="154">
        <f>SUM(C31:C34)</f>
        <v>1</v>
      </c>
      <c r="I31" s="6" t="s">
        <v>35</v>
      </c>
      <c r="J31" s="59"/>
    </row>
    <row r="32" spans="1:17" x14ac:dyDescent="0.25">
      <c r="A32" s="153" t="s">
        <v>34</v>
      </c>
      <c r="B32" s="153"/>
      <c r="C32" s="60">
        <v>0.3</v>
      </c>
      <c r="D32" s="154"/>
      <c r="I32" s="11" t="s">
        <v>36</v>
      </c>
      <c r="J32" s="59"/>
    </row>
    <row r="33" spans="1:10" x14ac:dyDescent="0.25">
      <c r="A33" s="153" t="s">
        <v>35</v>
      </c>
      <c r="B33" s="153"/>
      <c r="C33" s="60">
        <v>0.5</v>
      </c>
      <c r="D33" s="154"/>
      <c r="I33" s="6" t="s">
        <v>111</v>
      </c>
      <c r="J33" s="59"/>
    </row>
    <row r="34" spans="1:10" x14ac:dyDescent="0.25">
      <c r="A34" s="153" t="s">
        <v>36</v>
      </c>
      <c r="B34" s="153"/>
      <c r="C34" s="60">
        <v>0.05</v>
      </c>
      <c r="D34" s="154"/>
      <c r="I34" s="11" t="s">
        <v>15</v>
      </c>
      <c r="J34" s="74"/>
    </row>
    <row r="35" spans="1:10" x14ac:dyDescent="0.25"/>
    <row r="36" spans="1:10" x14ac:dyDescent="0.25">
      <c r="A36" s="152" t="s">
        <v>148</v>
      </c>
      <c r="B36" s="152"/>
    </row>
    <row r="37" spans="1:10" x14ac:dyDescent="0.25">
      <c r="A37" s="55" t="s">
        <v>39</v>
      </c>
      <c r="B37" s="55" t="s">
        <v>149</v>
      </c>
    </row>
    <row r="38" spans="1:10" x14ac:dyDescent="0.25">
      <c r="A38" s="56" t="s">
        <v>102</v>
      </c>
      <c r="B38" s="62"/>
    </row>
    <row r="39" spans="1:10" x14ac:dyDescent="0.25">
      <c r="A39" s="11" t="s">
        <v>6</v>
      </c>
      <c r="B39" s="62"/>
    </row>
    <row r="40" spans="1:10" x14ac:dyDescent="0.25">
      <c r="A40" s="56" t="s">
        <v>8</v>
      </c>
      <c r="B40" s="62"/>
    </row>
    <row r="41" spans="1:10" x14ac:dyDescent="0.25">
      <c r="A41" s="11" t="s">
        <v>10</v>
      </c>
      <c r="B41" s="62"/>
    </row>
    <row r="42" spans="1:10" x14ac:dyDescent="0.25">
      <c r="A42" s="56" t="s">
        <v>12</v>
      </c>
      <c r="B42" s="62"/>
    </row>
    <row r="43" spans="1:10" x14ac:dyDescent="0.25">
      <c r="A43" s="11" t="s">
        <v>16</v>
      </c>
      <c r="B43" s="62"/>
    </row>
    <row r="44" spans="1:10" x14ac:dyDescent="0.25">
      <c r="A44" s="56" t="s">
        <v>15</v>
      </c>
      <c r="B44" s="62"/>
    </row>
    <row r="45" spans="1:10" x14ac:dyDescent="0.25">
      <c r="A45" s="11" t="s">
        <v>19</v>
      </c>
      <c r="B45" s="62"/>
    </row>
    <row r="46" spans="1:10" x14ac:dyDescent="0.25">
      <c r="A46" s="56" t="s">
        <v>18</v>
      </c>
      <c r="B46" s="62"/>
      <c r="I46" s="151"/>
      <c r="J46" s="151"/>
    </row>
    <row r="47" spans="1:10" x14ac:dyDescent="0.25">
      <c r="A47" s="11" t="s">
        <v>14</v>
      </c>
      <c r="B47" s="62"/>
      <c r="I47" s="151"/>
      <c r="J47" s="151"/>
    </row>
    <row r="48" spans="1:10" x14ac:dyDescent="0.25">
      <c r="A48" s="56" t="s">
        <v>106</v>
      </c>
      <c r="B48" s="62"/>
      <c r="I48" s="151"/>
      <c r="J48" s="151"/>
    </row>
    <row r="49" spans="1:10" x14ac:dyDescent="0.25">
      <c r="A49" s="11" t="s">
        <v>105</v>
      </c>
      <c r="B49" s="13">
        <f>(C6*B38)+(B28*C5*B38)+(B25*C5*B38)</f>
        <v>0</v>
      </c>
      <c r="I49" s="151"/>
      <c r="J49" s="151"/>
    </row>
    <row r="50" spans="1:10" x14ac:dyDescent="0.25">
      <c r="A50" s="55" t="s">
        <v>151</v>
      </c>
      <c r="B50" s="57">
        <f>B38-SUM(B39:B47)-B49+B48</f>
        <v>0</v>
      </c>
      <c r="I50" s="151"/>
      <c r="J50" s="151"/>
    </row>
    <row r="51" spans="1:10" x14ac:dyDescent="0.25"/>
  </sheetData>
  <sheetProtection algorithmName="SHA-512" hashValue="jyG3c9epZVNlHdL9EbFeC+S9izLivGF+vkWqUnYNB8VUpscVYgqNy0f+f/OE+KIvbdd6dLCqGzImSUrsPyT8nw==" saltValue="C/Zb7VQ+EloajsmPZTvu+w==" spinCount="100000" sheet="1" objects="1" scenarios="1"/>
  <protectedRanges>
    <protectedRange sqref="A2 J3 C5 C6 C8 A11 I16:J19 B15 B16 B17 B18 B19 B21 B22 B24 B25 B26 B28 C31:C34 B38:B48 J29:J34 I46" name="Orcamento"/>
    <protectedRange sqref="A2:C2" name="ano"/>
    <protectedRange sqref="J29:J34" name="investes"/>
  </protectedRanges>
  <mergeCells count="27">
    <mergeCell ref="A20:C20"/>
    <mergeCell ref="A8:B8"/>
    <mergeCell ref="A9:C9"/>
    <mergeCell ref="A4:C4"/>
    <mergeCell ref="A5:B5"/>
    <mergeCell ref="A14:C14"/>
    <mergeCell ref="A10:C10"/>
    <mergeCell ref="A11:C11"/>
    <mergeCell ref="A6:B6"/>
    <mergeCell ref="A1:C1"/>
    <mergeCell ref="A2:C2"/>
    <mergeCell ref="I46:J50"/>
    <mergeCell ref="I1:J1"/>
    <mergeCell ref="A34:B34"/>
    <mergeCell ref="D31:D34"/>
    <mergeCell ref="D14:D28"/>
    <mergeCell ref="A13:D13"/>
    <mergeCell ref="A30:D30"/>
    <mergeCell ref="A31:B31"/>
    <mergeCell ref="A32:B32"/>
    <mergeCell ref="A33:B33"/>
    <mergeCell ref="A23:C23"/>
    <mergeCell ref="A27:C27"/>
    <mergeCell ref="C21:C22"/>
    <mergeCell ref="C15:C19"/>
    <mergeCell ref="C24:C26"/>
    <mergeCell ref="A36:B36"/>
  </mergeCells>
  <conditionalFormatting sqref="B50">
    <cfRule type="cellIs" dxfId="158" priority="3" operator="lessThan">
      <formula>0</formula>
    </cfRule>
    <cfRule type="cellIs" dxfId="157" priority="4" operator="greaterThan">
      <formula>0</formula>
    </cfRule>
  </conditionalFormatting>
  <conditionalFormatting sqref="D14:D28">
    <cfRule type="cellIs" dxfId="156" priority="1" operator="lessThan">
      <formula>1</formula>
    </cfRule>
    <cfRule type="cellIs" dxfId="155" priority="2" operator="greaterThan">
      <formula>1</formula>
    </cfRule>
  </conditionalFormatting>
  <dataValidations count="1">
    <dataValidation type="list" allowBlank="1" showInputMessage="1" showErrorMessage="1" sqref="A11:C11" xr:uid="{FD430BA4-E535-4CB1-9A92-B8C3C5AB5E67}">
      <formula1>"Sim,Não"</formula1>
    </dataValidation>
  </dataValidations>
  <pageMargins left="0.7" right="0.7" top="0.75" bottom="0.75" header="0.3" footer="0.3"/>
  <pageSetup paperSize="9" scale="75" orientation="portrait" horizontalDpi="30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4F75F-3A29-4C10-94CA-6A8C0AC48E7A}">
  <sheetPr codeName="Sheet2"/>
  <dimension ref="C1:I47"/>
  <sheetViews>
    <sheetView tabSelected="1" topLeftCell="C1" zoomScaleNormal="100" zoomScaleSheetLayoutView="100" workbookViewId="0">
      <selection activeCell="H3" sqref="H3"/>
    </sheetView>
  </sheetViews>
  <sheetFormatPr defaultColWidth="0" defaultRowHeight="15" zeroHeight="1" x14ac:dyDescent="0.25"/>
  <cols>
    <col min="1" max="2" width="9.140625" hidden="1" customWidth="1"/>
    <col min="3" max="4" width="9.28515625" customWidth="1"/>
    <col min="5" max="5" width="18.28515625" customWidth="1"/>
    <col min="6" max="6" width="27.140625" customWidth="1"/>
    <col min="7" max="7" width="66.28515625" style="71" customWidth="1"/>
    <col min="8" max="8" width="13" customWidth="1"/>
    <col min="9" max="9" width="0" hidden="1" customWidth="1"/>
    <col min="10" max="16384" width="9.140625" hidden="1"/>
  </cols>
  <sheetData>
    <row r="1" spans="3:9" x14ac:dyDescent="0.25">
      <c r="C1" s="4" t="s">
        <v>203</v>
      </c>
      <c r="D1" s="4" t="s">
        <v>0</v>
      </c>
      <c r="E1" s="4" t="s">
        <v>21</v>
      </c>
      <c r="F1" s="4" t="s">
        <v>22</v>
      </c>
      <c r="G1" s="70" t="s">
        <v>1</v>
      </c>
      <c r="H1" s="4" t="s">
        <v>24</v>
      </c>
      <c r="I1" s="4"/>
    </row>
    <row r="2" spans="3:9" ht="30" customHeight="1" x14ac:dyDescent="0.25">
      <c r="C2" s="4"/>
      <c r="D2" s="4">
        <v>1</v>
      </c>
      <c r="E2" s="4" t="s">
        <v>152</v>
      </c>
      <c r="F2" s="4" t="s">
        <v>152</v>
      </c>
      <c r="G2" s="5" t="s">
        <v>178</v>
      </c>
      <c r="H2" s="4"/>
      <c r="I2" s="4"/>
    </row>
    <row r="3" spans="3:9" ht="30" customHeight="1" x14ac:dyDescent="0.25">
      <c r="C3" s="4"/>
      <c r="D3" s="4">
        <v>2</v>
      </c>
      <c r="E3" s="4" t="s">
        <v>152</v>
      </c>
      <c r="F3" s="4" t="s">
        <v>152</v>
      </c>
      <c r="G3" s="70" t="s">
        <v>193</v>
      </c>
      <c r="H3" s="72"/>
      <c r="I3" s="4"/>
    </row>
    <row r="4" spans="3:9" ht="53.25" customHeight="1" x14ac:dyDescent="0.25">
      <c r="C4" s="4"/>
      <c r="D4" s="4">
        <v>3</v>
      </c>
      <c r="E4" s="4" t="s">
        <v>152</v>
      </c>
      <c r="F4" s="4" t="s">
        <v>152</v>
      </c>
      <c r="G4" s="5" t="s">
        <v>168</v>
      </c>
      <c r="H4" s="4"/>
      <c r="I4" s="4"/>
    </row>
    <row r="5" spans="3:9" ht="30" customHeight="1" x14ac:dyDescent="0.25">
      <c r="C5" s="4"/>
      <c r="D5" s="4">
        <v>4</v>
      </c>
      <c r="E5" s="4" t="s">
        <v>2</v>
      </c>
      <c r="F5" s="4" t="s">
        <v>23</v>
      </c>
      <c r="G5" s="5" t="s">
        <v>153</v>
      </c>
      <c r="H5" s="4"/>
      <c r="I5" s="4"/>
    </row>
    <row r="6" spans="3:9" ht="30" customHeight="1" x14ac:dyDescent="0.25">
      <c r="C6" s="4"/>
      <c r="D6" s="4">
        <v>5</v>
      </c>
      <c r="E6" s="4" t="s">
        <v>2</v>
      </c>
      <c r="F6" s="4" t="s">
        <v>2</v>
      </c>
      <c r="G6" s="5" t="s">
        <v>154</v>
      </c>
      <c r="H6" s="4"/>
      <c r="I6" s="4"/>
    </row>
    <row r="7" spans="3:9" ht="30" customHeight="1" x14ac:dyDescent="0.25">
      <c r="C7" s="4"/>
      <c r="D7" s="4">
        <v>6</v>
      </c>
      <c r="E7" s="4" t="s">
        <v>2</v>
      </c>
      <c r="F7" s="4" t="s">
        <v>155</v>
      </c>
      <c r="G7" s="5" t="s">
        <v>156</v>
      </c>
      <c r="H7" s="4"/>
      <c r="I7" s="4"/>
    </row>
    <row r="8" spans="3:9" ht="30" customHeight="1" x14ac:dyDescent="0.25">
      <c r="C8" s="4"/>
      <c r="D8" s="4">
        <v>7</v>
      </c>
      <c r="E8" s="4" t="s">
        <v>2</v>
      </c>
      <c r="F8" s="4" t="s">
        <v>155</v>
      </c>
      <c r="G8" s="5" t="s">
        <v>157</v>
      </c>
      <c r="H8" s="4"/>
      <c r="I8" s="4"/>
    </row>
    <row r="9" spans="3:9" ht="30" customHeight="1" x14ac:dyDescent="0.25">
      <c r="C9" s="4"/>
      <c r="D9" s="4">
        <v>8</v>
      </c>
      <c r="E9" s="4" t="s">
        <v>2</v>
      </c>
      <c r="F9" s="4" t="s">
        <v>31</v>
      </c>
      <c r="G9" s="5" t="s">
        <v>158</v>
      </c>
      <c r="H9" s="4"/>
      <c r="I9" s="4"/>
    </row>
    <row r="10" spans="3:9" ht="30" customHeight="1" x14ac:dyDescent="0.25">
      <c r="C10" s="4"/>
      <c r="D10" s="4">
        <v>9</v>
      </c>
      <c r="E10" s="4" t="s">
        <v>2</v>
      </c>
      <c r="F10" s="4" t="s">
        <v>159</v>
      </c>
      <c r="G10" s="5" t="s">
        <v>160</v>
      </c>
      <c r="H10" s="4"/>
      <c r="I10" s="4"/>
    </row>
    <row r="11" spans="3:9" ht="30" customHeight="1" x14ac:dyDescent="0.25">
      <c r="C11" s="4"/>
      <c r="D11" s="4">
        <v>10</v>
      </c>
      <c r="E11" s="4" t="s">
        <v>2</v>
      </c>
      <c r="F11" s="4" t="s">
        <v>148</v>
      </c>
      <c r="G11" s="5" t="s">
        <v>161</v>
      </c>
      <c r="H11" s="4"/>
      <c r="I11" s="4"/>
    </row>
    <row r="12" spans="3:9" ht="30" customHeight="1" x14ac:dyDescent="0.25">
      <c r="C12" s="4"/>
      <c r="D12" s="4">
        <v>11</v>
      </c>
      <c r="E12" s="4" t="s">
        <v>2</v>
      </c>
      <c r="F12" s="4" t="s">
        <v>162</v>
      </c>
      <c r="G12" s="5" t="s">
        <v>163</v>
      </c>
      <c r="H12" s="4"/>
      <c r="I12" s="4"/>
    </row>
    <row r="13" spans="3:9" ht="45" x14ac:dyDescent="0.25">
      <c r="C13" s="4"/>
      <c r="D13" s="4">
        <v>12</v>
      </c>
      <c r="E13" s="4" t="s">
        <v>2</v>
      </c>
      <c r="F13" s="4" t="s">
        <v>169</v>
      </c>
      <c r="G13" s="5" t="s">
        <v>173</v>
      </c>
      <c r="H13" s="4"/>
      <c r="I13" s="4"/>
    </row>
    <row r="14" spans="3:9" ht="30" customHeight="1" x14ac:dyDescent="0.25">
      <c r="C14" s="4"/>
      <c r="D14" s="4">
        <v>13</v>
      </c>
      <c r="E14" s="4" t="s">
        <v>2</v>
      </c>
      <c r="F14" s="4" t="s">
        <v>175</v>
      </c>
      <c r="G14" s="5" t="s">
        <v>176</v>
      </c>
      <c r="H14" s="4"/>
      <c r="I14" s="4"/>
    </row>
    <row r="15" spans="3:9" ht="30" customHeight="1" x14ac:dyDescent="0.25">
      <c r="C15" s="4"/>
      <c r="D15" s="4">
        <v>14</v>
      </c>
      <c r="E15" s="4" t="s">
        <v>2</v>
      </c>
      <c r="F15" s="4" t="s">
        <v>3</v>
      </c>
      <c r="G15" s="5" t="s">
        <v>177</v>
      </c>
      <c r="H15" s="4"/>
      <c r="I15" s="4"/>
    </row>
    <row r="16" spans="3:9" ht="30" customHeight="1" x14ac:dyDescent="0.25">
      <c r="C16" s="4"/>
      <c r="D16" s="4">
        <v>15</v>
      </c>
      <c r="E16" s="4" t="s">
        <v>2</v>
      </c>
      <c r="F16" s="4" t="s">
        <v>171</v>
      </c>
      <c r="G16" s="5" t="s">
        <v>172</v>
      </c>
      <c r="H16" s="4"/>
      <c r="I16" s="4"/>
    </row>
    <row r="17" spans="3:9" ht="30" customHeight="1" x14ac:dyDescent="0.25">
      <c r="C17" s="4"/>
      <c r="D17" s="4">
        <v>16</v>
      </c>
      <c r="E17" s="4" t="s">
        <v>179</v>
      </c>
      <c r="F17" s="4" t="s">
        <v>169</v>
      </c>
      <c r="G17" s="5" t="s">
        <v>183</v>
      </c>
      <c r="H17" s="4"/>
      <c r="I17" s="4"/>
    </row>
    <row r="18" spans="3:9" ht="30" customHeight="1" x14ac:dyDescent="0.25">
      <c r="C18" s="4"/>
      <c r="D18" s="4">
        <v>17</v>
      </c>
      <c r="E18" s="4" t="s">
        <v>179</v>
      </c>
      <c r="F18" s="4" t="s">
        <v>39</v>
      </c>
      <c r="G18" s="5" t="s">
        <v>184</v>
      </c>
      <c r="H18" s="4"/>
      <c r="I18" s="4"/>
    </row>
    <row r="19" spans="3:9" ht="30" customHeight="1" x14ac:dyDescent="0.25">
      <c r="C19" s="4"/>
      <c r="D19" s="4">
        <v>18</v>
      </c>
      <c r="E19" s="4" t="s">
        <v>179</v>
      </c>
      <c r="F19" s="4" t="s">
        <v>180</v>
      </c>
      <c r="G19" s="5" t="s">
        <v>185</v>
      </c>
      <c r="H19" s="4"/>
      <c r="I19" s="4"/>
    </row>
    <row r="20" spans="3:9" ht="30" customHeight="1" x14ac:dyDescent="0.25">
      <c r="C20" s="4"/>
      <c r="D20" s="4">
        <v>19</v>
      </c>
      <c r="E20" s="4" t="s">
        <v>179</v>
      </c>
      <c r="F20" s="4" t="s">
        <v>1</v>
      </c>
      <c r="G20" s="5" t="s">
        <v>186</v>
      </c>
      <c r="H20" s="4"/>
      <c r="I20" s="4"/>
    </row>
    <row r="21" spans="3:9" ht="30" customHeight="1" x14ac:dyDescent="0.25">
      <c r="C21" s="4"/>
      <c r="D21" s="4">
        <v>20</v>
      </c>
      <c r="E21" s="4" t="s">
        <v>179</v>
      </c>
      <c r="F21" s="4" t="s">
        <v>181</v>
      </c>
      <c r="G21" s="5" t="s">
        <v>187</v>
      </c>
      <c r="H21" s="4"/>
      <c r="I21" s="4"/>
    </row>
    <row r="22" spans="3:9" ht="30" x14ac:dyDescent="0.25">
      <c r="C22" s="4"/>
      <c r="D22" s="4">
        <v>21</v>
      </c>
      <c r="E22" s="4" t="s">
        <v>179</v>
      </c>
      <c r="F22" s="4" t="s">
        <v>182</v>
      </c>
      <c r="G22" s="5" t="s">
        <v>188</v>
      </c>
      <c r="H22" s="4"/>
      <c r="I22" s="4"/>
    </row>
    <row r="23" spans="3:9" ht="45" x14ac:dyDescent="0.25">
      <c r="C23" s="4"/>
      <c r="D23" s="4">
        <v>22</v>
      </c>
      <c r="E23" s="4" t="s">
        <v>189</v>
      </c>
      <c r="F23" s="4" t="s">
        <v>152</v>
      </c>
      <c r="G23" s="5" t="s">
        <v>191</v>
      </c>
      <c r="H23" s="4"/>
    </row>
    <row r="24" spans="3:9" ht="45" x14ac:dyDescent="0.25">
      <c r="C24" s="4"/>
      <c r="D24" s="4">
        <v>23</v>
      </c>
      <c r="E24" s="4" t="s">
        <v>190</v>
      </c>
      <c r="F24" s="4" t="s">
        <v>152</v>
      </c>
      <c r="G24" s="5" t="s">
        <v>192</v>
      </c>
      <c r="H24" s="4"/>
    </row>
    <row r="25" spans="3:9" ht="30" hidden="1" customHeight="1" x14ac:dyDescent="0.25"/>
    <row r="26" spans="3:9" ht="30" hidden="1" customHeight="1" x14ac:dyDescent="0.25"/>
    <row r="27" spans="3:9" ht="30" hidden="1" customHeight="1" x14ac:dyDescent="0.25"/>
    <row r="28" spans="3:9" ht="30" hidden="1" customHeight="1" x14ac:dyDescent="0.25"/>
    <row r="29" spans="3:9" ht="30" hidden="1" customHeight="1" x14ac:dyDescent="0.25"/>
    <row r="30" spans="3:9" ht="30" hidden="1" customHeight="1" x14ac:dyDescent="0.25"/>
    <row r="31" spans="3:9" ht="30" hidden="1" customHeight="1" x14ac:dyDescent="0.25"/>
    <row r="32" spans="3:9" ht="30" hidden="1" customHeight="1" x14ac:dyDescent="0.25"/>
    <row r="33" ht="30" hidden="1" customHeight="1" x14ac:dyDescent="0.25"/>
    <row r="34" ht="30" hidden="1" customHeight="1" x14ac:dyDescent="0.25"/>
    <row r="35" ht="30" hidden="1" customHeight="1" x14ac:dyDescent="0.25"/>
    <row r="36" ht="30" hidden="1" customHeight="1" x14ac:dyDescent="0.25"/>
    <row r="37" ht="30" hidden="1" customHeight="1" x14ac:dyDescent="0.25"/>
    <row r="38" ht="30" hidden="1" customHeight="1" x14ac:dyDescent="0.25"/>
    <row r="39" ht="30" hidden="1" customHeight="1" x14ac:dyDescent="0.25"/>
    <row r="40" ht="30" hidden="1" customHeight="1" x14ac:dyDescent="0.25"/>
    <row r="41" ht="30" hidden="1" customHeight="1" x14ac:dyDescent="0.25"/>
    <row r="42" ht="30" hidden="1" customHeight="1" x14ac:dyDescent="0.25"/>
    <row r="43" ht="30" hidden="1" customHeight="1" x14ac:dyDescent="0.25"/>
    <row r="44" ht="30" hidden="1" customHeight="1" x14ac:dyDescent="0.25"/>
    <row r="45" ht="30" hidden="1" customHeight="1" x14ac:dyDescent="0.25"/>
    <row r="46" ht="30" hidden="1" customHeight="1" x14ac:dyDescent="0.25"/>
    <row r="47" ht="30" hidden="1" customHeight="1" x14ac:dyDescent="0.25"/>
  </sheetData>
  <sheetProtection algorithmName="SHA-512" hashValue="yj82gywQvCFQ29RztEYHkwQ2BCEYxLyVcukl7eoXWp7ue90qTLU1AmAPi5XC2N8QecTMPugyzuC+0OujZtKT2w==" saltValue="rVpdoJJ+RDSZuYxFKjNWng==" spinCount="100000" sheet="1" objects="1" scenarios="1"/>
  <protectedRanges>
    <protectedRange sqref="C2:C24 H5:H24 H2" name="Instrucoes"/>
  </protectedRanges>
  <pageMargins left="0.7" right="0.7" top="0.75" bottom="0.75" header="0.3" footer="0.3"/>
  <pageSetup paperSize="9" scale="66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defaultSize="0" autoFill="0" autoLine="0" autoPict="0">
                <anchor moveWithCells="1">
                  <from>
                    <xdr:col>2</xdr:col>
                    <xdr:colOff>180975</xdr:colOff>
                    <xdr:row>1</xdr:row>
                    <xdr:rowOff>95250</xdr:rowOff>
                  </from>
                  <to>
                    <xdr:col>2</xdr:col>
                    <xdr:colOff>485775</xdr:colOff>
                    <xdr:row>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2</xdr:col>
                    <xdr:colOff>180975</xdr:colOff>
                    <xdr:row>2</xdr:row>
                    <xdr:rowOff>95250</xdr:rowOff>
                  </from>
                  <to>
                    <xdr:col>2</xdr:col>
                    <xdr:colOff>485775</xdr:colOff>
                    <xdr:row>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2</xdr:col>
                    <xdr:colOff>180975</xdr:colOff>
                    <xdr:row>3</xdr:row>
                    <xdr:rowOff>95250</xdr:rowOff>
                  </from>
                  <to>
                    <xdr:col>2</xdr:col>
                    <xdr:colOff>485775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2</xdr:col>
                    <xdr:colOff>180975</xdr:colOff>
                    <xdr:row>4</xdr:row>
                    <xdr:rowOff>95250</xdr:rowOff>
                  </from>
                  <to>
                    <xdr:col>2</xdr:col>
                    <xdr:colOff>485775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defaultSize="0" autoFill="0" autoLine="0" autoPict="0">
                <anchor moveWithCells="1">
                  <from>
                    <xdr:col>2</xdr:col>
                    <xdr:colOff>180975</xdr:colOff>
                    <xdr:row>5</xdr:row>
                    <xdr:rowOff>95250</xdr:rowOff>
                  </from>
                  <to>
                    <xdr:col>2</xdr:col>
                    <xdr:colOff>485775</xdr:colOff>
                    <xdr:row>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defaultSize="0" autoFill="0" autoLine="0" autoPict="0">
                <anchor moveWithCells="1">
                  <from>
                    <xdr:col>2</xdr:col>
                    <xdr:colOff>180975</xdr:colOff>
                    <xdr:row>6</xdr:row>
                    <xdr:rowOff>95250</xdr:rowOff>
                  </from>
                  <to>
                    <xdr:col>2</xdr:col>
                    <xdr:colOff>485775</xdr:colOff>
                    <xdr:row>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defaultSize="0" autoFill="0" autoLine="0" autoPict="0">
                <anchor moveWithCells="1">
                  <from>
                    <xdr:col>2</xdr:col>
                    <xdr:colOff>180975</xdr:colOff>
                    <xdr:row>7</xdr:row>
                    <xdr:rowOff>95250</xdr:rowOff>
                  </from>
                  <to>
                    <xdr:col>2</xdr:col>
                    <xdr:colOff>485775</xdr:colOff>
                    <xdr:row>7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defaultSize="0" autoFill="0" autoLine="0" autoPict="0">
                <anchor moveWithCells="1">
                  <from>
                    <xdr:col>2</xdr:col>
                    <xdr:colOff>180975</xdr:colOff>
                    <xdr:row>8</xdr:row>
                    <xdr:rowOff>95250</xdr:rowOff>
                  </from>
                  <to>
                    <xdr:col>2</xdr:col>
                    <xdr:colOff>485775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defaultSize="0" autoFill="0" autoLine="0" autoPict="0">
                <anchor moveWithCells="1">
                  <from>
                    <xdr:col>2</xdr:col>
                    <xdr:colOff>180975</xdr:colOff>
                    <xdr:row>9</xdr:row>
                    <xdr:rowOff>95250</xdr:rowOff>
                  </from>
                  <to>
                    <xdr:col>2</xdr:col>
                    <xdr:colOff>485775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defaultSize="0" autoFill="0" autoLine="0" autoPict="0">
                <anchor moveWithCells="1">
                  <from>
                    <xdr:col>2</xdr:col>
                    <xdr:colOff>180975</xdr:colOff>
                    <xdr:row>10</xdr:row>
                    <xdr:rowOff>95250</xdr:rowOff>
                  </from>
                  <to>
                    <xdr:col>2</xdr:col>
                    <xdr:colOff>485775</xdr:colOff>
                    <xdr:row>10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defaultSize="0" autoFill="0" autoLine="0" autoPict="0">
                <anchor moveWithCells="1">
                  <from>
                    <xdr:col>2</xdr:col>
                    <xdr:colOff>180975</xdr:colOff>
                    <xdr:row>11</xdr:row>
                    <xdr:rowOff>95250</xdr:rowOff>
                  </from>
                  <to>
                    <xdr:col>2</xdr:col>
                    <xdr:colOff>485775</xdr:colOff>
                    <xdr:row>11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defaultSize="0" autoFill="0" autoLine="0" autoPict="0">
                <anchor moveWithCells="1">
                  <from>
                    <xdr:col>2</xdr:col>
                    <xdr:colOff>180975</xdr:colOff>
                    <xdr:row>12</xdr:row>
                    <xdr:rowOff>95250</xdr:rowOff>
                  </from>
                  <to>
                    <xdr:col>2</xdr:col>
                    <xdr:colOff>485775</xdr:colOff>
                    <xdr:row>12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defaultSize="0" autoFill="0" autoLine="0" autoPict="0">
                <anchor moveWithCells="1">
                  <from>
                    <xdr:col>2</xdr:col>
                    <xdr:colOff>180975</xdr:colOff>
                    <xdr:row>13</xdr:row>
                    <xdr:rowOff>95250</xdr:rowOff>
                  </from>
                  <to>
                    <xdr:col>2</xdr:col>
                    <xdr:colOff>485775</xdr:colOff>
                    <xdr:row>13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defaultSize="0" autoFill="0" autoLine="0" autoPict="0">
                <anchor moveWithCells="1">
                  <from>
                    <xdr:col>2</xdr:col>
                    <xdr:colOff>180975</xdr:colOff>
                    <xdr:row>14</xdr:row>
                    <xdr:rowOff>95250</xdr:rowOff>
                  </from>
                  <to>
                    <xdr:col>2</xdr:col>
                    <xdr:colOff>485775</xdr:colOff>
                    <xdr:row>14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defaultSize="0" autoFill="0" autoLine="0" autoPict="0">
                <anchor moveWithCells="1">
                  <from>
                    <xdr:col>2</xdr:col>
                    <xdr:colOff>180975</xdr:colOff>
                    <xdr:row>15</xdr:row>
                    <xdr:rowOff>95250</xdr:rowOff>
                  </from>
                  <to>
                    <xdr:col>2</xdr:col>
                    <xdr:colOff>485775</xdr:colOff>
                    <xdr:row>15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defaultSize="0" autoFill="0" autoLine="0" autoPict="0">
                <anchor moveWithCells="1">
                  <from>
                    <xdr:col>2</xdr:col>
                    <xdr:colOff>180975</xdr:colOff>
                    <xdr:row>16</xdr:row>
                    <xdr:rowOff>95250</xdr:rowOff>
                  </from>
                  <to>
                    <xdr:col>2</xdr:col>
                    <xdr:colOff>485775</xdr:colOff>
                    <xdr:row>16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defaultSize="0" autoFill="0" autoLine="0" autoPict="0">
                <anchor moveWithCells="1">
                  <from>
                    <xdr:col>2</xdr:col>
                    <xdr:colOff>180975</xdr:colOff>
                    <xdr:row>17</xdr:row>
                    <xdr:rowOff>95250</xdr:rowOff>
                  </from>
                  <to>
                    <xdr:col>2</xdr:col>
                    <xdr:colOff>485775</xdr:colOff>
                    <xdr:row>17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defaultSize="0" autoFill="0" autoLine="0" autoPict="0">
                <anchor moveWithCells="1">
                  <from>
                    <xdr:col>2</xdr:col>
                    <xdr:colOff>180975</xdr:colOff>
                    <xdr:row>18</xdr:row>
                    <xdr:rowOff>95250</xdr:rowOff>
                  </from>
                  <to>
                    <xdr:col>2</xdr:col>
                    <xdr:colOff>485775</xdr:colOff>
                    <xdr:row>18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defaultSize="0" autoFill="0" autoLine="0" autoPict="0">
                <anchor moveWithCells="1">
                  <from>
                    <xdr:col>2</xdr:col>
                    <xdr:colOff>180975</xdr:colOff>
                    <xdr:row>19</xdr:row>
                    <xdr:rowOff>95250</xdr:rowOff>
                  </from>
                  <to>
                    <xdr:col>2</xdr:col>
                    <xdr:colOff>485775</xdr:colOff>
                    <xdr:row>19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defaultSize="0" autoFill="0" autoLine="0" autoPict="0">
                <anchor moveWithCells="1">
                  <from>
                    <xdr:col>2</xdr:col>
                    <xdr:colOff>180975</xdr:colOff>
                    <xdr:row>20</xdr:row>
                    <xdr:rowOff>95250</xdr:rowOff>
                  </from>
                  <to>
                    <xdr:col>2</xdr:col>
                    <xdr:colOff>485775</xdr:colOff>
                    <xdr:row>20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defaultSize="0" autoFill="0" autoLine="0" autoPict="0">
                <anchor moveWithCells="1">
                  <from>
                    <xdr:col>2</xdr:col>
                    <xdr:colOff>180975</xdr:colOff>
                    <xdr:row>21</xdr:row>
                    <xdr:rowOff>95250</xdr:rowOff>
                  </from>
                  <to>
                    <xdr:col>2</xdr:col>
                    <xdr:colOff>485775</xdr:colOff>
                    <xdr:row>21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defaultSize="0" autoFill="0" autoLine="0" autoPict="0">
                <anchor moveWithCells="1">
                  <from>
                    <xdr:col>2</xdr:col>
                    <xdr:colOff>180975</xdr:colOff>
                    <xdr:row>22</xdr:row>
                    <xdr:rowOff>95250</xdr:rowOff>
                  </from>
                  <to>
                    <xdr:col>2</xdr:col>
                    <xdr:colOff>485775</xdr:colOff>
                    <xdr:row>22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defaultSize="0" autoFill="0" autoLine="0" autoPict="0">
                <anchor moveWithCells="1">
                  <from>
                    <xdr:col>2</xdr:col>
                    <xdr:colOff>180975</xdr:colOff>
                    <xdr:row>23</xdr:row>
                    <xdr:rowOff>95250</xdr:rowOff>
                  </from>
                  <to>
                    <xdr:col>2</xdr:col>
                    <xdr:colOff>485775</xdr:colOff>
                    <xdr:row>23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2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16B93-08F7-40A6-8998-525ABB3B0DC8}">
  <sheetPr codeName="Sheet1"/>
  <dimension ref="A1:H65"/>
  <sheetViews>
    <sheetView workbookViewId="0">
      <selection activeCell="D49" sqref="D48:D49"/>
    </sheetView>
  </sheetViews>
  <sheetFormatPr defaultRowHeight="15" x14ac:dyDescent="0.25"/>
  <cols>
    <col min="1" max="1" width="16.85546875" bestFit="1" customWidth="1"/>
    <col min="3" max="3" width="20.140625" customWidth="1"/>
    <col min="4" max="4" width="23.85546875" bestFit="1" customWidth="1"/>
    <col min="6" max="6" width="18.7109375" customWidth="1"/>
    <col min="8" max="8" width="12.42578125" style="3" bestFit="1" customWidth="1"/>
  </cols>
  <sheetData>
    <row r="1" spans="1:8" x14ac:dyDescent="0.25">
      <c r="A1" s="3" t="s">
        <v>107</v>
      </c>
      <c r="B1" s="3"/>
      <c r="C1" s="3" t="s">
        <v>107</v>
      </c>
      <c r="D1" s="3" t="s">
        <v>108</v>
      </c>
      <c r="E1" s="3"/>
      <c r="F1" s="3" t="s">
        <v>109</v>
      </c>
      <c r="H1" s="3" t="s">
        <v>110</v>
      </c>
    </row>
    <row r="2" spans="1:8" x14ac:dyDescent="0.25">
      <c r="A2" s="3" t="s">
        <v>102</v>
      </c>
      <c r="C2" s="3" t="s">
        <v>102</v>
      </c>
      <c r="D2" s="3" t="s">
        <v>44</v>
      </c>
      <c r="F2" s="3" t="str">
        <f>Orçamento!I16</f>
        <v>Conta Corrente 1</v>
      </c>
      <c r="H2" s="3">
        <v>1</v>
      </c>
    </row>
    <row r="3" spans="1:8" x14ac:dyDescent="0.25">
      <c r="A3" s="3" t="s">
        <v>6</v>
      </c>
      <c r="C3" s="3" t="s">
        <v>102</v>
      </c>
      <c r="D3" s="3" t="s">
        <v>20</v>
      </c>
      <c r="F3" s="3" t="str">
        <f>Orçamento!I17</f>
        <v>Conta Corrente 2</v>
      </c>
      <c r="H3" s="3">
        <v>2</v>
      </c>
    </row>
    <row r="4" spans="1:8" x14ac:dyDescent="0.25">
      <c r="A4" s="3" t="s">
        <v>8</v>
      </c>
      <c r="C4" s="3" t="s">
        <v>102</v>
      </c>
      <c r="D4" s="3" t="s">
        <v>46</v>
      </c>
      <c r="F4" s="3" t="str">
        <f>Orçamento!I18</f>
        <v>Carteira 1</v>
      </c>
      <c r="H4" s="3">
        <v>3</v>
      </c>
    </row>
    <row r="5" spans="1:8" x14ac:dyDescent="0.25">
      <c r="A5" s="3" t="s">
        <v>10</v>
      </c>
      <c r="C5" s="3" t="s">
        <v>102</v>
      </c>
      <c r="D5" s="3" t="s">
        <v>45</v>
      </c>
      <c r="F5" s="3" t="str">
        <f>Orçamento!I19</f>
        <v>Carteira 2</v>
      </c>
      <c r="H5" s="3">
        <v>4</v>
      </c>
    </row>
    <row r="6" spans="1:8" x14ac:dyDescent="0.25">
      <c r="A6" s="3" t="s">
        <v>12</v>
      </c>
      <c r="C6" s="3" t="s">
        <v>102</v>
      </c>
      <c r="D6" s="3" t="s">
        <v>42</v>
      </c>
      <c r="F6" s="3" t="str">
        <f>Orçamento!I23</f>
        <v>Cartão de Crédito 1</v>
      </c>
      <c r="H6" s="3">
        <v>5</v>
      </c>
    </row>
    <row r="7" spans="1:8" x14ac:dyDescent="0.25">
      <c r="A7" s="3" t="s">
        <v>16</v>
      </c>
      <c r="C7" s="3" t="s">
        <v>102</v>
      </c>
      <c r="D7" s="3" t="s">
        <v>43</v>
      </c>
      <c r="F7" s="3" t="str">
        <f>Orçamento!I24</f>
        <v>Cartão de Crédito 2</v>
      </c>
      <c r="H7" s="3">
        <v>6</v>
      </c>
    </row>
    <row r="8" spans="1:8" x14ac:dyDescent="0.25">
      <c r="A8" s="3" t="s">
        <v>15</v>
      </c>
      <c r="C8" s="3" t="s">
        <v>6</v>
      </c>
      <c r="D8" s="3" t="s">
        <v>49</v>
      </c>
      <c r="F8" s="3" t="str">
        <f>Orçamento!I25</f>
        <v>Cartão de Crédito 3</v>
      </c>
      <c r="H8" s="3">
        <v>7</v>
      </c>
    </row>
    <row r="9" spans="1:8" x14ac:dyDescent="0.25">
      <c r="A9" s="3" t="s">
        <v>19</v>
      </c>
      <c r="C9" s="3" t="s">
        <v>6</v>
      </c>
      <c r="D9" s="3" t="s">
        <v>48</v>
      </c>
      <c r="F9" s="67" t="s">
        <v>5</v>
      </c>
      <c r="H9" s="3">
        <v>8</v>
      </c>
    </row>
    <row r="10" spans="1:8" x14ac:dyDescent="0.25">
      <c r="A10" s="3" t="s">
        <v>18</v>
      </c>
      <c r="C10" s="3" t="s">
        <v>6</v>
      </c>
      <c r="D10" s="3" t="s">
        <v>50</v>
      </c>
      <c r="F10" s="68" t="s">
        <v>7</v>
      </c>
      <c r="H10" s="3">
        <v>9</v>
      </c>
    </row>
    <row r="11" spans="1:8" x14ac:dyDescent="0.25">
      <c r="A11" s="3" t="s">
        <v>14</v>
      </c>
      <c r="C11" s="3" t="s">
        <v>6</v>
      </c>
      <c r="D11" s="3" t="s">
        <v>51</v>
      </c>
      <c r="F11" s="67" t="s">
        <v>9</v>
      </c>
      <c r="H11" s="3">
        <v>10</v>
      </c>
    </row>
    <row r="12" spans="1:8" x14ac:dyDescent="0.25">
      <c r="A12" s="3" t="s">
        <v>112</v>
      </c>
      <c r="C12" s="3" t="s">
        <v>6</v>
      </c>
      <c r="D12" s="3" t="s">
        <v>52</v>
      </c>
      <c r="F12" s="68" t="s">
        <v>11</v>
      </c>
      <c r="H12" s="3">
        <v>11</v>
      </c>
    </row>
    <row r="13" spans="1:8" x14ac:dyDescent="0.25">
      <c r="C13" s="3" t="s">
        <v>6</v>
      </c>
      <c r="D13" s="3" t="s">
        <v>113</v>
      </c>
      <c r="F13" s="67" t="s">
        <v>111</v>
      </c>
      <c r="H13" s="3">
        <v>12</v>
      </c>
    </row>
    <row r="14" spans="1:8" x14ac:dyDescent="0.25">
      <c r="C14" s="3" t="s">
        <v>6</v>
      </c>
      <c r="D14" s="3" t="s">
        <v>54</v>
      </c>
      <c r="F14" s="68" t="s">
        <v>15</v>
      </c>
      <c r="H14" s="3" t="s">
        <v>126</v>
      </c>
    </row>
    <row r="15" spans="1:8" x14ac:dyDescent="0.25">
      <c r="A15" s="3"/>
      <c r="C15" s="3" t="s">
        <v>6</v>
      </c>
      <c r="D15" s="3" t="s">
        <v>20</v>
      </c>
      <c r="F15" s="3"/>
    </row>
    <row r="16" spans="1:8" x14ac:dyDescent="0.25">
      <c r="C16" s="3" t="s">
        <v>8</v>
      </c>
      <c r="D16" s="3" t="s">
        <v>56</v>
      </c>
      <c r="F16" s="3"/>
    </row>
    <row r="17" spans="3:6" x14ac:dyDescent="0.25">
      <c r="C17" s="3" t="s">
        <v>8</v>
      </c>
      <c r="D17" s="3" t="s">
        <v>57</v>
      </c>
      <c r="F17" s="3"/>
    </row>
    <row r="18" spans="3:6" x14ac:dyDescent="0.25">
      <c r="C18" s="3" t="s">
        <v>8</v>
      </c>
      <c r="D18" s="3" t="s">
        <v>20</v>
      </c>
      <c r="F18" s="3"/>
    </row>
    <row r="19" spans="3:6" x14ac:dyDescent="0.25">
      <c r="C19" s="3" t="s">
        <v>10</v>
      </c>
      <c r="D19" s="3" t="s">
        <v>116</v>
      </c>
    </row>
    <row r="20" spans="3:6" x14ac:dyDescent="0.25">
      <c r="C20" s="3" t="s">
        <v>10</v>
      </c>
      <c r="D20" s="3" t="s">
        <v>117</v>
      </c>
    </row>
    <row r="21" spans="3:6" x14ac:dyDescent="0.25">
      <c r="C21" s="3" t="s">
        <v>10</v>
      </c>
      <c r="D21" s="3" t="s">
        <v>118</v>
      </c>
    </row>
    <row r="22" spans="3:6" x14ac:dyDescent="0.25">
      <c r="C22" s="3" t="s">
        <v>10</v>
      </c>
      <c r="D22" s="3" t="s">
        <v>119</v>
      </c>
    </row>
    <row r="23" spans="3:6" x14ac:dyDescent="0.25">
      <c r="C23" s="3" t="s">
        <v>10</v>
      </c>
      <c r="D23" s="3" t="s">
        <v>20</v>
      </c>
    </row>
    <row r="24" spans="3:6" x14ac:dyDescent="0.25">
      <c r="C24" s="3" t="s">
        <v>12</v>
      </c>
      <c r="D24" s="3" t="s">
        <v>60</v>
      </c>
    </row>
    <row r="25" spans="3:6" x14ac:dyDescent="0.25">
      <c r="C25" s="3" t="s">
        <v>12</v>
      </c>
      <c r="D25" s="3" t="s">
        <v>61</v>
      </c>
    </row>
    <row r="26" spans="3:6" x14ac:dyDescent="0.25">
      <c r="C26" s="3" t="s">
        <v>12</v>
      </c>
      <c r="D26" s="3" t="s">
        <v>20</v>
      </c>
    </row>
    <row r="27" spans="3:6" x14ac:dyDescent="0.25">
      <c r="C27" s="3" t="s">
        <v>16</v>
      </c>
      <c r="D27" s="3" t="s">
        <v>63</v>
      </c>
    </row>
    <row r="28" spans="3:6" x14ac:dyDescent="0.25">
      <c r="C28" s="3" t="s">
        <v>16</v>
      </c>
      <c r="D28" s="3" t="s">
        <v>66</v>
      </c>
    </row>
    <row r="29" spans="3:6" x14ac:dyDescent="0.25">
      <c r="C29" s="3" t="s">
        <v>16</v>
      </c>
      <c r="D29" s="3" t="s">
        <v>65</v>
      </c>
    </row>
    <row r="30" spans="3:6" x14ac:dyDescent="0.25">
      <c r="C30" s="3" t="s">
        <v>16</v>
      </c>
      <c r="D30" s="3" t="s">
        <v>64</v>
      </c>
    </row>
    <row r="31" spans="3:6" x14ac:dyDescent="0.25">
      <c r="C31" s="3" t="s">
        <v>16</v>
      </c>
      <c r="D31" s="3" t="s">
        <v>20</v>
      </c>
    </row>
    <row r="32" spans="3:6" x14ac:dyDescent="0.25">
      <c r="C32" s="3" t="s">
        <v>15</v>
      </c>
      <c r="D32" s="3" t="s">
        <v>68</v>
      </c>
    </row>
    <row r="33" spans="3:4" x14ac:dyDescent="0.25">
      <c r="C33" s="3" t="s">
        <v>15</v>
      </c>
      <c r="D33" s="3" t="s">
        <v>30</v>
      </c>
    </row>
    <row r="34" spans="3:4" x14ac:dyDescent="0.25">
      <c r="C34" s="3" t="s">
        <v>15</v>
      </c>
      <c r="D34" s="3" t="s">
        <v>20</v>
      </c>
    </row>
    <row r="35" spans="3:4" x14ac:dyDescent="0.25">
      <c r="C35" s="3" t="s">
        <v>19</v>
      </c>
      <c r="D35" s="3" t="s">
        <v>70</v>
      </c>
    </row>
    <row r="36" spans="3:4" x14ac:dyDescent="0.25">
      <c r="C36" s="3" t="s">
        <v>19</v>
      </c>
      <c r="D36" s="3" t="s">
        <v>71</v>
      </c>
    </row>
    <row r="37" spans="3:4" x14ac:dyDescent="0.25">
      <c r="C37" s="3" t="s">
        <v>19</v>
      </c>
      <c r="D37" s="3" t="s">
        <v>17</v>
      </c>
    </row>
    <row r="38" spans="3:4" x14ac:dyDescent="0.25">
      <c r="C38" s="3" t="s">
        <v>19</v>
      </c>
      <c r="D38" s="3" t="s">
        <v>20</v>
      </c>
    </row>
    <row r="39" spans="3:4" x14ac:dyDescent="0.25">
      <c r="C39" s="3" t="s">
        <v>18</v>
      </c>
      <c r="D39" s="3" t="s">
        <v>74</v>
      </c>
    </row>
    <row r="40" spans="3:4" x14ac:dyDescent="0.25">
      <c r="C40" s="3" t="s">
        <v>18</v>
      </c>
      <c r="D40" s="3" t="s">
        <v>20</v>
      </c>
    </row>
    <row r="41" spans="3:4" x14ac:dyDescent="0.25">
      <c r="C41" s="3" t="s">
        <v>18</v>
      </c>
      <c r="D41" s="3" t="s">
        <v>73</v>
      </c>
    </row>
    <row r="42" spans="3:4" x14ac:dyDescent="0.25">
      <c r="C42" s="3" t="s">
        <v>18</v>
      </c>
      <c r="D42" s="3" t="s">
        <v>13</v>
      </c>
    </row>
    <row r="43" spans="3:4" x14ac:dyDescent="0.25">
      <c r="C43" s="3" t="s">
        <v>14</v>
      </c>
      <c r="D43" s="3" t="s">
        <v>76</v>
      </c>
    </row>
    <row r="44" spans="3:4" x14ac:dyDescent="0.25">
      <c r="C44" s="3" t="s">
        <v>14</v>
      </c>
      <c r="D44" s="3" t="s">
        <v>79</v>
      </c>
    </row>
    <row r="45" spans="3:4" x14ac:dyDescent="0.25">
      <c r="C45" s="3" t="s">
        <v>14</v>
      </c>
      <c r="D45" s="3" t="s">
        <v>77</v>
      </c>
    </row>
    <row r="46" spans="3:4" x14ac:dyDescent="0.25">
      <c r="C46" s="3" t="s">
        <v>14</v>
      </c>
      <c r="D46" s="3" t="s">
        <v>78</v>
      </c>
    </row>
    <row r="47" spans="3:4" x14ac:dyDescent="0.25">
      <c r="C47" s="3" t="s">
        <v>14</v>
      </c>
      <c r="D47" s="3" t="s">
        <v>20</v>
      </c>
    </row>
    <row r="48" spans="3:4" x14ac:dyDescent="0.25">
      <c r="C48" s="3" t="s">
        <v>112</v>
      </c>
      <c r="D48" s="3" t="s">
        <v>114</v>
      </c>
    </row>
    <row r="49" spans="3:4" x14ac:dyDescent="0.25">
      <c r="C49" s="3" t="s">
        <v>112</v>
      </c>
      <c r="D49" s="3" t="s">
        <v>115</v>
      </c>
    </row>
    <row r="50" spans="3:4" x14ac:dyDescent="0.25">
      <c r="C50" s="3"/>
      <c r="D50" s="3"/>
    </row>
    <row r="51" spans="3:4" x14ac:dyDescent="0.25">
      <c r="C51" s="3"/>
      <c r="D51" s="3"/>
    </row>
    <row r="52" spans="3:4" x14ac:dyDescent="0.25">
      <c r="C52" s="3"/>
      <c r="D52" s="3"/>
    </row>
    <row r="53" spans="3:4" x14ac:dyDescent="0.25">
      <c r="C53" s="3"/>
      <c r="D53" s="3"/>
    </row>
    <row r="54" spans="3:4" x14ac:dyDescent="0.25">
      <c r="C54" s="3"/>
      <c r="D54" s="3"/>
    </row>
    <row r="55" spans="3:4" x14ac:dyDescent="0.25">
      <c r="C55" s="3"/>
      <c r="D55" s="3"/>
    </row>
    <row r="56" spans="3:4" x14ac:dyDescent="0.25">
      <c r="C56" s="3"/>
      <c r="D56" s="3"/>
    </row>
    <row r="57" spans="3:4" x14ac:dyDescent="0.25">
      <c r="C57" s="3"/>
      <c r="D57" s="3"/>
    </row>
    <row r="58" spans="3:4" x14ac:dyDescent="0.25">
      <c r="C58" s="3"/>
      <c r="D58" s="3"/>
    </row>
    <row r="59" spans="3:4" x14ac:dyDescent="0.25">
      <c r="C59" s="3"/>
      <c r="D59" s="3"/>
    </row>
    <row r="60" spans="3:4" x14ac:dyDescent="0.25">
      <c r="C60" s="3"/>
      <c r="D60" s="3"/>
    </row>
    <row r="61" spans="3:4" x14ac:dyDescent="0.25">
      <c r="C61" s="3"/>
      <c r="D61" s="3"/>
    </row>
    <row r="62" spans="3:4" x14ac:dyDescent="0.25">
      <c r="C62" s="3"/>
      <c r="D62" s="3"/>
    </row>
    <row r="63" spans="3:4" x14ac:dyDescent="0.25">
      <c r="C63" s="3"/>
      <c r="D63" s="3"/>
    </row>
    <row r="64" spans="3:4" x14ac:dyDescent="0.25">
      <c r="C64" s="3"/>
      <c r="D64" s="3"/>
    </row>
    <row r="65" spans="3:4" x14ac:dyDescent="0.25">
      <c r="C65" s="3"/>
      <c r="D65" s="3"/>
    </row>
  </sheetData>
  <sheetProtection algorithmName="SHA-512" hashValue="au///C/CNbfblujm5yGejstr71KMYA+AH6EgK9Xjv8L/5o7iemuDXT+88vlMobtFDHIj9pJQ5grTX1PBAKxqEA==" saltValue="9Dq5w39bEpvvpoWASaO0hQ==" spinCount="100000" sheet="1" objects="1" scenarios="1"/>
  <phoneticPr fontId="6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6C7FE-071B-41A2-BECF-383F07339FF1}">
  <sheetPr codeName="Sheet6"/>
  <dimension ref="A1:AU94"/>
  <sheetViews>
    <sheetView workbookViewId="0">
      <selection activeCell="M8" sqref="M8"/>
    </sheetView>
  </sheetViews>
  <sheetFormatPr defaultRowHeight="15" x14ac:dyDescent="0.25"/>
  <cols>
    <col min="1" max="1" width="13.42578125" style="3" customWidth="1"/>
    <col min="2" max="2" width="2.7109375" customWidth="1"/>
    <col min="3" max="3" width="16" bestFit="1" customWidth="1"/>
    <col min="4" max="4" width="14.28515625" customWidth="1"/>
    <col min="5" max="5" width="13.7109375" customWidth="1"/>
    <col min="6" max="6" width="14.7109375" customWidth="1"/>
    <col min="7" max="7" width="2.7109375" customWidth="1"/>
    <col min="8" max="8" width="18" bestFit="1" customWidth="1"/>
    <col min="9" max="10" width="13.7109375" customWidth="1"/>
    <col min="11" max="11" width="14.7109375" customWidth="1"/>
    <col min="12" max="12" width="2.7109375" customWidth="1"/>
    <col min="13" max="13" width="13.7109375" customWidth="1"/>
    <col min="14" max="14" width="17.85546875" customWidth="1"/>
    <col min="15" max="15" width="13.7109375" customWidth="1"/>
    <col min="16" max="16" width="14.7109375" customWidth="1"/>
    <col min="17" max="17" width="2.7109375" customWidth="1"/>
    <col min="18" max="21" width="13.7109375" customWidth="1"/>
    <col min="22" max="22" width="2.7109375" customWidth="1"/>
    <col min="23" max="26" width="13.7109375" customWidth="1"/>
    <col min="27" max="27" width="2.7109375" customWidth="1"/>
    <col min="28" max="31" width="13.7109375" customWidth="1"/>
    <col min="32" max="32" width="2.7109375" customWidth="1"/>
    <col min="33" max="36" width="13.7109375" customWidth="1"/>
    <col min="37" max="37" width="2.7109375" customWidth="1"/>
    <col min="38" max="41" width="13.7109375" customWidth="1"/>
    <col min="42" max="42" width="2.7109375" customWidth="1"/>
  </cols>
  <sheetData>
    <row r="1" spans="1:45" x14ac:dyDescent="0.25">
      <c r="A1" s="3" t="s">
        <v>110</v>
      </c>
      <c r="C1" s="4" t="s">
        <v>121</v>
      </c>
      <c r="D1" s="4" t="s">
        <v>122</v>
      </c>
      <c r="E1" s="4" t="s">
        <v>23</v>
      </c>
      <c r="J1" s="34" t="s">
        <v>123</v>
      </c>
      <c r="K1" s="34" t="s">
        <v>124</v>
      </c>
      <c r="M1" s="4"/>
      <c r="N1" s="4"/>
      <c r="R1" s="3" t="s">
        <v>110</v>
      </c>
      <c r="S1" t="s">
        <v>199</v>
      </c>
      <c r="T1" t="s">
        <v>202</v>
      </c>
    </row>
    <row r="2" spans="1:45" x14ac:dyDescent="0.25">
      <c r="A2" s="3" t="s">
        <v>125</v>
      </c>
      <c r="C2" s="4" cm="1">
        <f t="array" ref="C2">_xlfn.IFS(Dashboard!C2=A2,1,Dashboard!C2=A3,2,Dashboard!C2=A4,3,Dashboard!C2=A5,4,Dashboard!C2=A6,5,Dashboard!C2=A7,6,Dashboard!C2=A8,7,Dashboard!C2=A9,8,Dashboard!C2=A10,9,Dashboard!C2=A11,10,Dashboard!C2=A12,11,Dashboard!C2=A13,12,Dashboard!C2=A14,13)</f>
        <v>13</v>
      </c>
      <c r="D2" s="4" t="str" cm="1">
        <f t="array" ref="D2">INDEX(Table5[Mês],C2)</f>
        <v>SALDO FINAL</v>
      </c>
      <c r="E2" s="4">
        <f>Select_Ano</f>
        <v>0</v>
      </c>
      <c r="H2" s="33" t="str">
        <f>"01/01/"&amp;$E$2</f>
        <v>01/01/0</v>
      </c>
      <c r="I2" s="35" t="str">
        <f>"31/01/"&amp;$E$2</f>
        <v>31/01/0</v>
      </c>
      <c r="J2" s="37" t="str">
        <f>H2</f>
        <v>01/01/0</v>
      </c>
      <c r="K2" s="37" t="str">
        <f>I2</f>
        <v>31/01/0</v>
      </c>
      <c r="M2" s="4"/>
      <c r="N2" s="4"/>
      <c r="R2" s="3" t="s">
        <v>125</v>
      </c>
      <c r="S2" s="2">
        <f>IF($C$2&gt;=1,T2,"")</f>
        <v>0</v>
      </c>
      <c r="T2" s="2">
        <f>F18+K18+P18+U18+F50+K50+P50+U50+Z50+AE50</f>
        <v>0</v>
      </c>
      <c r="AS2" s="2"/>
    </row>
    <row r="3" spans="1:45" x14ac:dyDescent="0.25">
      <c r="A3" s="3" t="s">
        <v>127</v>
      </c>
      <c r="H3" s="33" t="str">
        <f>"01/02/"&amp;$E$2</f>
        <v>01/02/0</v>
      </c>
      <c r="I3" s="35" t="str">
        <f>L3&amp;"/02/"&amp;$E$2</f>
        <v>29/02/0</v>
      </c>
      <c r="J3" s="38" t="str">
        <f t="shared" ref="J3:J13" si="0">H3</f>
        <v>01/02/0</v>
      </c>
      <c r="K3" s="90" t="str">
        <f t="shared" ref="K3:K13" si="1">I3</f>
        <v>29/02/0</v>
      </c>
      <c r="L3" s="91">
        <f>IF((MOD($E$2,4)) =0,29,28)</f>
        <v>29</v>
      </c>
      <c r="M3" s="4"/>
      <c r="N3" s="4"/>
      <c r="R3" s="3" t="s">
        <v>127</v>
      </c>
      <c r="S3" s="2">
        <f>IF($C$2&gt;=2,T3,"")</f>
        <v>0</v>
      </c>
      <c r="T3" s="2">
        <f>F19+K19+P19+U19+F51+K51+P51+U51+Z51+AE51</f>
        <v>0</v>
      </c>
      <c r="AS3" s="2"/>
    </row>
    <row r="4" spans="1:45" x14ac:dyDescent="0.25">
      <c r="A4" s="3" t="s">
        <v>128</v>
      </c>
      <c r="H4" s="33" t="str">
        <f>"01/03/"&amp;$E$2</f>
        <v>01/03/0</v>
      </c>
      <c r="I4" s="35" t="str">
        <f>"31/03/"&amp;$E$2</f>
        <v>31/03/0</v>
      </c>
      <c r="J4" s="37" t="str">
        <f t="shared" si="0"/>
        <v>01/03/0</v>
      </c>
      <c r="K4" s="37" t="str">
        <f t="shared" si="1"/>
        <v>31/03/0</v>
      </c>
      <c r="M4" s="4"/>
      <c r="N4" s="4"/>
      <c r="R4" s="3" t="s">
        <v>128</v>
      </c>
      <c r="S4" s="2">
        <f>IF($C$2&gt;=3,T4,"")</f>
        <v>0</v>
      </c>
      <c r="T4" s="2">
        <f t="shared" ref="T4:T13" si="2">F20+K20+P20+U20+F52+K52+P52+U52+Z52+AE52</f>
        <v>0</v>
      </c>
      <c r="AS4" s="2"/>
    </row>
    <row r="5" spans="1:45" x14ac:dyDescent="0.25">
      <c r="A5" s="3" t="s">
        <v>129</v>
      </c>
      <c r="H5" s="33" t="str">
        <f>"01/04/"&amp;$E$2</f>
        <v>01/04/0</v>
      </c>
      <c r="I5" s="35" t="str">
        <f>"30/04/"&amp;$E$2</f>
        <v>30/04/0</v>
      </c>
      <c r="J5" s="38" t="str">
        <f t="shared" si="0"/>
        <v>01/04/0</v>
      </c>
      <c r="K5" s="38" t="str">
        <f t="shared" si="1"/>
        <v>30/04/0</v>
      </c>
      <c r="M5" s="4"/>
      <c r="N5" s="4"/>
      <c r="R5" s="3" t="s">
        <v>129</v>
      </c>
      <c r="S5" s="2">
        <f>IF($C$2&gt;=4,T5,"")</f>
        <v>0</v>
      </c>
      <c r="T5" s="2">
        <f t="shared" si="2"/>
        <v>0</v>
      </c>
      <c r="AS5" s="2"/>
    </row>
    <row r="6" spans="1:45" x14ac:dyDescent="0.25">
      <c r="A6" s="3" t="s">
        <v>130</v>
      </c>
      <c r="H6" s="33" t="str">
        <f>"01/05/"&amp;$E$2</f>
        <v>01/05/0</v>
      </c>
      <c r="I6" s="35" t="str">
        <f>"31/05/"&amp;$E$2</f>
        <v>31/05/0</v>
      </c>
      <c r="J6" s="37" t="str">
        <f t="shared" si="0"/>
        <v>01/05/0</v>
      </c>
      <c r="K6" s="37" t="str">
        <f t="shared" si="1"/>
        <v>31/05/0</v>
      </c>
      <c r="M6" s="4"/>
      <c r="N6" s="4"/>
      <c r="R6" s="3" t="s">
        <v>130</v>
      </c>
      <c r="S6" s="2">
        <f>IF($C$2&gt;=5,T6,"")</f>
        <v>0</v>
      </c>
      <c r="T6" s="2">
        <f t="shared" si="2"/>
        <v>0</v>
      </c>
      <c r="AS6" s="2"/>
    </row>
    <row r="7" spans="1:45" x14ac:dyDescent="0.25">
      <c r="A7" s="3" t="s">
        <v>131</v>
      </c>
      <c r="H7" s="33" t="str">
        <f>"01/06/"&amp;$E$2</f>
        <v>01/06/0</v>
      </c>
      <c r="I7" s="35" t="str">
        <f>"30/06/"&amp;$E$2</f>
        <v>30/06/0</v>
      </c>
      <c r="J7" s="38" t="str">
        <f t="shared" si="0"/>
        <v>01/06/0</v>
      </c>
      <c r="K7" s="38" t="str">
        <f t="shared" si="1"/>
        <v>30/06/0</v>
      </c>
      <c r="M7" s="4"/>
      <c r="N7" s="4"/>
      <c r="R7" s="3" t="s">
        <v>131</v>
      </c>
      <c r="S7" s="2">
        <f>IF($C$2&gt;=6,T7,"")</f>
        <v>0</v>
      </c>
      <c r="T7" s="2">
        <f t="shared" si="2"/>
        <v>0</v>
      </c>
      <c r="AS7" s="2"/>
    </row>
    <row r="8" spans="1:45" x14ac:dyDescent="0.25">
      <c r="A8" s="3" t="s">
        <v>132</v>
      </c>
      <c r="H8" s="33" t="str">
        <f>"01/07/"&amp;$E$2</f>
        <v>01/07/0</v>
      </c>
      <c r="I8" s="35" t="str">
        <f>"31/07/"&amp;$E$2</f>
        <v>31/07/0</v>
      </c>
      <c r="J8" s="37" t="str">
        <f t="shared" si="0"/>
        <v>01/07/0</v>
      </c>
      <c r="K8" s="37" t="str">
        <f t="shared" si="1"/>
        <v>31/07/0</v>
      </c>
      <c r="M8" s="4"/>
      <c r="N8" s="4"/>
      <c r="R8" s="3" t="s">
        <v>132</v>
      </c>
      <c r="S8" s="2">
        <f>IF($C$2&gt;=7,T8,"")</f>
        <v>0</v>
      </c>
      <c r="T8" s="2">
        <f t="shared" si="2"/>
        <v>0</v>
      </c>
      <c r="AS8" s="2"/>
    </row>
    <row r="9" spans="1:45" x14ac:dyDescent="0.25">
      <c r="A9" s="3" t="s">
        <v>133</v>
      </c>
      <c r="H9" s="33" t="str">
        <f>"01/08/"&amp;$E$2</f>
        <v>01/08/0</v>
      </c>
      <c r="I9" s="35" t="str">
        <f>"31/08/"&amp;$E$2</f>
        <v>31/08/0</v>
      </c>
      <c r="J9" s="38" t="str">
        <f t="shared" si="0"/>
        <v>01/08/0</v>
      </c>
      <c r="K9" s="38" t="str">
        <f t="shared" si="1"/>
        <v>31/08/0</v>
      </c>
      <c r="M9" s="4"/>
      <c r="N9" s="4"/>
      <c r="R9" s="3" t="s">
        <v>133</v>
      </c>
      <c r="S9" s="2">
        <f>IF($C$2&gt;=8,T9,"")</f>
        <v>0</v>
      </c>
      <c r="T9" s="2">
        <f t="shared" si="2"/>
        <v>0</v>
      </c>
      <c r="AS9" s="2"/>
    </row>
    <row r="10" spans="1:45" x14ac:dyDescent="0.25">
      <c r="A10" s="3" t="s">
        <v>134</v>
      </c>
      <c r="H10" s="33" t="str">
        <f>"01/09/"&amp;$E$2</f>
        <v>01/09/0</v>
      </c>
      <c r="I10" s="35" t="str">
        <f>"30/09/"&amp;$E$2</f>
        <v>30/09/0</v>
      </c>
      <c r="J10" s="37" t="str">
        <f t="shared" si="0"/>
        <v>01/09/0</v>
      </c>
      <c r="K10" s="37" t="str">
        <f t="shared" si="1"/>
        <v>30/09/0</v>
      </c>
      <c r="M10" s="4"/>
      <c r="N10" s="4"/>
      <c r="R10" s="3" t="s">
        <v>134</v>
      </c>
      <c r="S10" s="2">
        <f>IF($C$2&gt;=9,T10,"")</f>
        <v>0</v>
      </c>
      <c r="T10" s="2">
        <f t="shared" si="2"/>
        <v>0</v>
      </c>
      <c r="AS10" s="2"/>
    </row>
    <row r="11" spans="1:45" x14ac:dyDescent="0.25">
      <c r="A11" s="3" t="s">
        <v>135</v>
      </c>
      <c r="H11" s="33" t="str">
        <f>"01/10/"&amp;$E$2</f>
        <v>01/10/0</v>
      </c>
      <c r="I11" s="35" t="str">
        <f>"31/10/"&amp;$E$2</f>
        <v>31/10/0</v>
      </c>
      <c r="J11" s="38" t="str">
        <f t="shared" si="0"/>
        <v>01/10/0</v>
      </c>
      <c r="K11" s="38" t="str">
        <f t="shared" si="1"/>
        <v>31/10/0</v>
      </c>
      <c r="M11" s="4"/>
      <c r="N11" s="4"/>
      <c r="R11" s="3" t="s">
        <v>135</v>
      </c>
      <c r="S11" s="2">
        <f>IF($C$2&gt;=10,T11,"")</f>
        <v>0</v>
      </c>
      <c r="T11" s="2">
        <f t="shared" si="2"/>
        <v>0</v>
      </c>
      <c r="AS11" s="2"/>
    </row>
    <row r="12" spans="1:45" x14ac:dyDescent="0.25">
      <c r="A12" s="3" t="s">
        <v>136</v>
      </c>
      <c r="H12" s="33" t="str">
        <f>"01/11/"&amp;$E$2</f>
        <v>01/11/0</v>
      </c>
      <c r="I12" s="35" t="str">
        <f>"30/11/"&amp;$E$2</f>
        <v>30/11/0</v>
      </c>
      <c r="J12" s="37" t="str">
        <f t="shared" si="0"/>
        <v>01/11/0</v>
      </c>
      <c r="K12" s="37" t="str">
        <f t="shared" si="1"/>
        <v>30/11/0</v>
      </c>
      <c r="M12" s="4"/>
      <c r="N12" s="4"/>
      <c r="R12" s="3" t="s">
        <v>136</v>
      </c>
      <c r="S12" s="2">
        <f>IF($C$2&gt;=11,T12,"")</f>
        <v>0</v>
      </c>
      <c r="T12" s="2">
        <f t="shared" si="2"/>
        <v>0</v>
      </c>
      <c r="AS12" s="2"/>
    </row>
    <row r="13" spans="1:45" x14ac:dyDescent="0.25">
      <c r="A13" s="3" t="s">
        <v>137</v>
      </c>
      <c r="H13" s="33" t="str">
        <f>"01/12/"&amp;$E$2</f>
        <v>01/12/0</v>
      </c>
      <c r="I13" s="35" t="str">
        <f>"31/12/"&amp;$E$2</f>
        <v>31/12/0</v>
      </c>
      <c r="J13" s="38" t="str">
        <f t="shared" si="0"/>
        <v>01/12/0</v>
      </c>
      <c r="K13" s="38" t="str">
        <f t="shared" si="1"/>
        <v>31/12/0</v>
      </c>
      <c r="M13" s="4"/>
      <c r="N13" s="4"/>
      <c r="R13" s="3" t="s">
        <v>137</v>
      </c>
      <c r="S13" s="2">
        <f>IF($C$2&gt;=12,T13,"")</f>
        <v>0</v>
      </c>
      <c r="T13" s="2">
        <f t="shared" si="2"/>
        <v>0</v>
      </c>
      <c r="AS13" s="2"/>
    </row>
    <row r="14" spans="1:45" x14ac:dyDescent="0.25">
      <c r="A14" s="3" t="s">
        <v>126</v>
      </c>
      <c r="R14" s="3"/>
      <c r="S14" s="2"/>
      <c r="T14" s="2"/>
      <c r="AS14" s="2"/>
    </row>
    <row r="16" spans="1:45" x14ac:dyDescent="0.25">
      <c r="C16" s="173" t="str">
        <f>Lista!F2</f>
        <v>Conta Corrente 1</v>
      </c>
      <c r="D16" s="173"/>
      <c r="E16" s="173"/>
      <c r="F16" s="173"/>
      <c r="G16" s="3"/>
      <c r="H16" s="173" t="str">
        <f>Lista!F3</f>
        <v>Conta Corrente 2</v>
      </c>
      <c r="I16" s="173"/>
      <c r="J16" s="173"/>
      <c r="K16" s="173"/>
      <c r="L16" s="3"/>
      <c r="M16" s="173" t="str">
        <f>Lista!F4</f>
        <v>Carteira 1</v>
      </c>
      <c r="N16" s="173"/>
      <c r="O16" s="173"/>
      <c r="P16" s="173"/>
      <c r="Q16" s="3"/>
      <c r="R16" s="174" t="str">
        <f>Lista!F5</f>
        <v>Carteira 2</v>
      </c>
      <c r="S16" s="175"/>
      <c r="T16" s="175"/>
      <c r="U16" s="176"/>
      <c r="W16" s="173"/>
      <c r="X16" s="173"/>
      <c r="Y16" s="173"/>
      <c r="Z16" s="173"/>
    </row>
    <row r="17" spans="1:46" x14ac:dyDescent="0.25">
      <c r="A17" s="3" t="s">
        <v>110</v>
      </c>
      <c r="C17" s="21" t="s">
        <v>139</v>
      </c>
      <c r="D17" s="22" t="s">
        <v>140</v>
      </c>
      <c r="E17" s="22" t="s">
        <v>103</v>
      </c>
      <c r="F17" s="23" t="s">
        <v>138</v>
      </c>
      <c r="G17" s="3"/>
      <c r="H17" s="21" t="s">
        <v>139</v>
      </c>
      <c r="I17" s="22" t="s">
        <v>140</v>
      </c>
      <c r="J17" s="22" t="s">
        <v>103</v>
      </c>
      <c r="K17" s="23" t="s">
        <v>138</v>
      </c>
      <c r="L17" s="3"/>
      <c r="M17" s="21" t="s">
        <v>139</v>
      </c>
      <c r="N17" s="22" t="s">
        <v>140</v>
      </c>
      <c r="O17" s="22" t="s">
        <v>103</v>
      </c>
      <c r="P17" s="23" t="s">
        <v>138</v>
      </c>
      <c r="Q17" s="3"/>
      <c r="R17" s="21" t="s">
        <v>139</v>
      </c>
      <c r="S17" s="22" t="s">
        <v>140</v>
      </c>
      <c r="T17" s="22" t="s">
        <v>103</v>
      </c>
      <c r="U17" s="23" t="s">
        <v>138</v>
      </c>
      <c r="W17" s="21" t="s">
        <v>139</v>
      </c>
      <c r="X17" s="22" t="s">
        <v>140</v>
      </c>
      <c r="Y17" s="22" t="s">
        <v>103</v>
      </c>
      <c r="Z17" s="23" t="s">
        <v>138</v>
      </c>
    </row>
    <row r="18" spans="1:46" x14ac:dyDescent="0.25">
      <c r="A18" s="3" t="s">
        <v>125</v>
      </c>
      <c r="C18" s="24">
        <f>SUMIFS(T_dados[VALOR],T_dados[CONTA],C16,T_dados[CATEGORIA],"Renda",T_dados[CATEGORIA],"&lt;&gt;Transferência",T_dados[DATA],"&gt;="&amp;JAN_I,T_dados[DATA],"&lt;="&amp;JAN_F)+SUMIFS(T_dados[VALOR],T_dados[CONTA],C16,T_dados[CATEGORIA],"Transferência",T_dados[SUBCATEGORIA],"Entrada",T_dados[DATA],"&gt;="&amp;JAN_I,T_dados[DATA],"&lt;="&amp;JAN_F)</f>
        <v>0</v>
      </c>
      <c r="D18" s="24">
        <f>SUMIFS(T_dados[VALOR],T_dados[CONTA],C16,T_dados[CATEGORIA],"&lt;&gt;Renda",T_dados[CATEGORIA],"&lt;&gt;Transferência",T_dados[DATA],"&gt;="&amp;JAN_I,T_dados[DATA],"&lt;="&amp;JAN_F)+SUMIFS(T_dados[VALOR],T_dados[CONTA],C16,T_dados[CATEGORIA],"Transferência",T_dados[SUBCATEGORIA],"Saída",T_dados[DATA],"&gt;="&amp;JAN_I,T_dados[DATA],"&lt;="&amp;JAN_F)</f>
        <v>0</v>
      </c>
      <c r="E18" s="25">
        <f>Table12[[#This Row],[ENTRADA]]-Table12[[#This Row],[SAÍDA]]</f>
        <v>0</v>
      </c>
      <c r="F18" s="26">
        <f>Table12[[#This Row],[SALDO]]+Orçamento!J16</f>
        <v>0</v>
      </c>
      <c r="H18" s="24">
        <f>SUMIFS(T_dados[VALOR],T_dados[CONTA],H16,T_dados[CATEGORIA],"Renda",T_dados[CATEGORIA],"&lt;&gt;Transferência",T_dados[DATA],"&gt;="&amp;JAN_I,T_dados[DATA],"&lt;="&amp;JAN_F)+SUMIFS(T_dados[VALOR],T_dados[CONTA],H16,T_dados[CATEGORIA],"Transferência",T_dados[SUBCATEGORIA],"Entrada",T_dados[DATA],"&gt;="&amp;JAN_I,T_dados[DATA],"&lt;="&amp;JAN_F)</f>
        <v>0</v>
      </c>
      <c r="I18" s="24">
        <f>SUMIFS(T_dados[VALOR],T_dados[CONTA],H16,T_dados[CATEGORIA],"&lt;&gt;Renda",T_dados[CATEGORIA],"&lt;&gt;Transferência",T_dados[DATA],"&gt;="&amp;JAN_I,T_dados[DATA],"&lt;="&amp;JAN_F)+SUMIFS(T_dados[VALOR],T_dados[CONTA],H16,T_dados[CATEGORIA],"Transferência",T_dados[SUBCATEGORIA],"Saída",T_dados[DATA],"&gt;="&amp;JAN_I,T_dados[DATA],"&lt;="&amp;JAN_F)</f>
        <v>0</v>
      </c>
      <c r="J18" s="25">
        <f>Table1214[[#This Row],[ENTRADA]]-Table1214[[#This Row],[SAÍDA]]</f>
        <v>0</v>
      </c>
      <c r="K18" s="26">
        <f>Table1214[[#This Row],[SALDO]]+Orçamento!J17</f>
        <v>0</v>
      </c>
      <c r="M18" s="24">
        <f>SUMIFS(T_dados[VALOR],T_dados[CONTA],M16,T_dados[CATEGORIA],"Renda",T_dados[CATEGORIA],"&lt;&gt;Transferência",T_dados[CATEGORIA],"&lt;&gt;Transferência",T_dados[DATA],"&gt;="&amp;JAN_I,T_dados[DATA],"&lt;="&amp;JAN_F)+SUMIFS(T_dados[VALOR],T_dados[CONTA],M16,T_dados[CATEGORIA],"Transferência",T_dados[SUBCATEGORIA],"Entrada",T_dados[DATA],"&gt;="&amp;JAN_I,T_dados[DATA],"&lt;="&amp;JAN_F)</f>
        <v>0</v>
      </c>
      <c r="N18" s="24">
        <f>SUMIFS(T_dados[VALOR],T_dados[CONTA],M16,T_dados[CATEGORIA],"&lt;&gt;Renda",T_dados[CATEGORIA],"&lt;&gt;Transferência",T_dados[DATA],"&gt;="&amp;JAN_I,T_dados[DATA],"&lt;="&amp;JAN_F)+SUMIFS(T_dados[VALOR],T_dados[CONTA],M16,T_dados[CATEGORIA],"Transferência",T_dados[SUBCATEGORIA],"Saída",T_dados[DATA],"&gt;="&amp;JAN_I,T_dados[DATA],"&lt;="&amp;JAN_F)</f>
        <v>0</v>
      </c>
      <c r="O18" s="25">
        <f>Table1215[[#This Row],[ENTRADA]]-Table1215[[#This Row],[SAÍDA]]</f>
        <v>0</v>
      </c>
      <c r="P18" s="26">
        <f>Table1215[[#This Row],[SALDO]]+Orçamento!J18</f>
        <v>0</v>
      </c>
      <c r="R18" s="24">
        <f>SUMIFS(T_dados[VALOR],T_dados[CONTA],R16,T_dados[CATEGORIA],"Renda",T_dados[CATEGORIA],"&lt;&gt;Transferência",T_dados[DATA],"&gt;="&amp;JAN_I,T_dados[DATA],"&lt;="&amp;JAN_F)+SUMIFS(T_dados[VALOR],T_dados[CONTA],R16,T_dados[CATEGORIA],"Transferência",T_dados[SUBCATEGORIA],"Entrada",T_dados[DATA],"&gt;="&amp;JAN_I,T_dados[DATA],"&lt;="&amp;JAN_F)</f>
        <v>0</v>
      </c>
      <c r="S18" s="24">
        <f>SUMIFS(T_dados[VALOR],T_dados[CONTA],R16,T_dados[CATEGORIA],"&lt;&gt;Renda",T_dados[CATEGORIA],"&lt;&gt;Transferência",T_dados[DATA],"&gt;="&amp;JAN_I,T_dados[DATA],"&lt;="&amp;JAN_F)+SUMIFS(T_dados[VALOR],T_dados[CONTA],R16,T_dados[CATEGORIA],"Transferência",T_dados[SUBCATEGORIA],"Saída",T_dados[DATA],"&gt;="&amp;JAN_I,T_dados[DATA],"&lt;="&amp;JAN_F)</f>
        <v>0</v>
      </c>
      <c r="T18" s="25">
        <f>Table1216[[#This Row],[ENTRADA]]-Table1216[[#This Row],[SAÍDA]]</f>
        <v>0</v>
      </c>
      <c r="U18" s="26">
        <f>Table1216[[#This Row],[SALDO]]+Orçamento!J19</f>
        <v>0</v>
      </c>
      <c r="W18" s="24">
        <f>SUMIFS(T_dados[VALOR],T_dados[CONTA],W16,T_dados[CATEGORIA],"Renda",T_dados[DATA],"&gt;="&amp;JAN_I,T_dados[DATA],"&lt;="&amp;JAN_F)+SUMIFS(T_dados[VALOR],T_dados[CONTA],W16,T_dados[CATEGORIA],"Transferência",T_dados[SUBCATEGORIA],"Entrada",T_dados[DATA],"&gt;="&amp;JAN_I,T_dados[DATA],"&lt;="&amp;JAN_F)</f>
        <v>0</v>
      </c>
      <c r="X18" s="24">
        <f>SUMIFS(T_dados[VALOR],T_dados[CONTA],W16,T_dados[CATEGORIA],"&lt;&gt;Renda",T_dados[CATEGORIA],"&lt;&gt;Transferência",T_dados[DATA],"&gt;="&amp;JAN_I,T_dados[DATA],"&lt;="&amp;JAN_F)+SUMIFS(T_dados[VALOR],T_dados[CONTA],X16,T_dados[CATEGORIA],"Transferência",T_dados[SUBCATEGORIA],"Saída",T_dados[DATA],"&gt;="&amp;JAN_I,T_dados[DATA],"&lt;="&amp;JAN_F)</f>
        <v>0</v>
      </c>
      <c r="Y18" s="25">
        <f>Table121612[[#This Row],[ENTRADA]]-Table121612[[#This Row],[SAÍDA]]</f>
        <v>0</v>
      </c>
      <c r="Z18" s="26">
        <f>Table121612[[#This Row],[SALDO]]</f>
        <v>0</v>
      </c>
    </row>
    <row r="19" spans="1:46" x14ac:dyDescent="0.25">
      <c r="A19" s="3" t="s">
        <v>127</v>
      </c>
      <c r="C19" s="24">
        <f>SUMIFS(T_dados[VALOR],T_dados[CONTA],C16,T_dados[CATEGORIA],"Renda",T_dados[CATEGORIA],"&lt;&gt;Transferência",T_dados[DATA],"&gt;="&amp;FEV_I,T_dados[DATA],"&lt;="&amp;FEV_F)+SUMIFS(T_dados[VALOR],T_dados[CONTA],C16,T_dados[CATEGORIA],"Transferência",T_dados[SUBCATEGORIA],"Entrada",T_dados[DATA],"&gt;="&amp;FEV_I,T_dados[DATA],"&lt;="&amp;FEV_F)</f>
        <v>0</v>
      </c>
      <c r="D19" s="24">
        <f>SUMIFS(T_dados[VALOR],T_dados[CONTA],C16,T_dados[CATEGORIA],"&lt;&gt;Renda",T_dados[CATEGORIA],"&lt;&gt;Transferência",T_dados[DATA],"&gt;="&amp;FEV_I,T_dados[DATA],"&lt;="&amp;FEV_F)+SUMIFS(T_dados[VALOR],T_dados[CONTA],C16,T_dados[CATEGORIA],"Transferência",T_dados[SUBCATEGORIA],"Saída",T_dados[DATA],"&gt;="&amp;FEV_I,T_dados[DATA],"&lt;="&amp;FEV_F)</f>
        <v>0</v>
      </c>
      <c r="E19" s="25">
        <f>Table12[[#This Row],[ENTRADA]]-Table12[[#This Row],[SAÍDA]]</f>
        <v>0</v>
      </c>
      <c r="F19" s="26">
        <f>F18+Table12[[#This Row],[SALDO]]</f>
        <v>0</v>
      </c>
      <c r="H19" s="24">
        <f>SUMIFS(T_dados[VALOR],T_dados[CONTA],H16,T_dados[CATEGORIA],"Renda",T_dados[CATEGORIA],"&lt;&gt;Transferência",T_dados[DATA],"&gt;="&amp;FEV_I,T_dados[DATA],"&lt;="&amp;FEV_F)+SUMIFS(T_dados[VALOR],T_dados[CONTA],H16,T_dados[CATEGORIA],"Transferência",T_dados[SUBCATEGORIA],"Entrada",T_dados[DATA],"&gt;="&amp;FEV_I,T_dados[DATA],"&lt;="&amp;FEV_F)</f>
        <v>0</v>
      </c>
      <c r="I19" s="24">
        <f>SUMIFS(T_dados[VALOR],T_dados[CONTA],H16,T_dados[CATEGORIA],"&lt;&gt;Renda",T_dados[CATEGORIA],"&lt;&gt;Transferência",T_dados[DATA],"&gt;="&amp;FEV_I,T_dados[DATA],"&lt;="&amp;FEV_F)+SUMIFS(T_dados[VALOR],T_dados[CONTA],H16,T_dados[CATEGORIA],"Transferência",T_dados[SUBCATEGORIA],"Saída",T_dados[DATA],"&gt;="&amp;FEV_I,T_dados[DATA],"&lt;="&amp;FEV_F)</f>
        <v>0</v>
      </c>
      <c r="J19" s="25">
        <f>Table1214[[#This Row],[ENTRADA]]-Table1214[[#This Row],[SAÍDA]]</f>
        <v>0</v>
      </c>
      <c r="K19" s="26">
        <f>K18+Table1214[[#This Row],[SALDO]]</f>
        <v>0</v>
      </c>
      <c r="M19" s="24">
        <f>SUMIFS(T_dados[VALOR],T_dados[CONTA],M16,T_dados[CATEGORIA],"Renda",T_dados[CATEGORIA],"&lt;&gt;Transferência",T_dados[DATA],"&gt;="&amp;FEV_I,T_dados[DATA],"&lt;="&amp;FEV_F)+SUMIFS(T_dados[VALOR],T_dados[CONTA],M16,T_dados[CATEGORIA],"Transferência",T_dados[SUBCATEGORIA],"Entrada",T_dados[DATA],"&gt;="&amp;FEV_I,T_dados[DATA],"&lt;="&amp;FEV_F)</f>
        <v>0</v>
      </c>
      <c r="N19" s="24">
        <f>SUMIFS(T_dados[VALOR],T_dados[CONTA],M16,T_dados[CATEGORIA],"&lt;&gt;Renda",T_dados[CATEGORIA],"&lt;&gt;Transferência",T_dados[DATA],"&gt;="&amp;FEV_I,T_dados[DATA],"&lt;="&amp;FEV_F)+SUMIFS(T_dados[VALOR],T_dados[CONTA],M16,T_dados[CATEGORIA],"Transferência",T_dados[SUBCATEGORIA],"Saída",T_dados[DATA],"&gt;="&amp;FEV_I,T_dados[DATA],"&lt;="&amp;FEV_F)</f>
        <v>0</v>
      </c>
      <c r="O19" s="25">
        <f>Table1215[[#This Row],[ENTRADA]]-Table1215[[#This Row],[SAÍDA]]</f>
        <v>0</v>
      </c>
      <c r="P19" s="26">
        <f>P18+Table1215[[#This Row],[SALDO]]</f>
        <v>0</v>
      </c>
      <c r="R19" s="24">
        <f>SUMIFS(T_dados[VALOR],T_dados[CONTA],R16,T_dados[CATEGORIA],"Renda",T_dados[CATEGORIA],"&lt;&gt;Transferência",T_dados[DATA],"&gt;="&amp;FEV_I,T_dados[DATA],"&lt;="&amp;FEV_F)+SUMIFS(T_dados[VALOR],T_dados[CONTA],R16,T_dados[CATEGORIA],"Transferência",T_dados[SUBCATEGORIA],"Entrada",T_dados[DATA],"&gt;="&amp;FEV_I,T_dados[DATA],"&lt;="&amp;FEV_F)</f>
        <v>0</v>
      </c>
      <c r="S19" s="24">
        <f>SUMIFS(T_dados[VALOR],T_dados[CONTA],R16,T_dados[CATEGORIA],"&lt;&gt;Renda",T_dados[CATEGORIA],"&lt;&gt;Transferência",T_dados[DATA],"&gt;="&amp;FEV_I,T_dados[DATA],"&lt;="&amp;FEV_F)+SUMIFS(T_dados[VALOR],T_dados[CONTA],R16,T_dados[CATEGORIA],"Transferência",T_dados[SUBCATEGORIA],"Saída",T_dados[DATA],"&gt;="&amp;FEV_I,T_dados[DATA],"&lt;="&amp;FEV_F)</f>
        <v>0</v>
      </c>
      <c r="T19" s="25">
        <f>Table1216[[#This Row],[ENTRADA]]-Table1216[[#This Row],[SAÍDA]]</f>
        <v>0</v>
      </c>
      <c r="U19" s="26">
        <f>U18+Table1216[[#This Row],[SALDO]]</f>
        <v>0</v>
      </c>
      <c r="W19" s="24">
        <f>SUMIFS(T_dados[VALOR],T_dados[CONTA],W16,T_dados[CATEGORIA],"Renda",T_dados[DATA],"&gt;="&amp;FEV_I,T_dados[DATA],"&lt;="&amp;FEV_F)+SUMIFS(T_dados[VALOR],T_dados[CONTA],W16,T_dados[CATEGORIA],"Transferência",T_dados[SUBCATEGORIA],"Entrada",T_dados[DATA],"&gt;="&amp;FEV_I,T_dados[DATA],"&lt;="&amp;FEV_F)</f>
        <v>0</v>
      </c>
      <c r="X19" s="24">
        <f>SUMIFS(T_dados[VALOR],T_dados[CONTA],W16,T_dados[CATEGORIA],"&lt;&gt;Renda",T_dados[CATEGORIA],"&lt;&gt;Transferência",T_dados[DATA],"&gt;="&amp;FEV_I,T_dados[DATA],"&lt;="&amp;FEV_F)+SUMIFS(T_dados[VALOR],T_dados[CONTA],X16,T_dados[CATEGORIA],"Transferência",T_dados[SUBCATEGORIA],"Saída",T_dados[DATA],"&gt;="&amp;FEV_I,T_dados[DATA],"&lt;="&amp;FEV_F)</f>
        <v>0</v>
      </c>
      <c r="Y19" s="25">
        <f>Table121612[[#This Row],[ENTRADA]]-Table121612[[#This Row],[SAÍDA]]</f>
        <v>0</v>
      </c>
      <c r="Z19" s="26">
        <f>Z18+Table121612[[#This Row],[SALDO]]</f>
        <v>0</v>
      </c>
      <c r="AT19" s="2"/>
    </row>
    <row r="20" spans="1:46" x14ac:dyDescent="0.25">
      <c r="A20" s="3" t="s">
        <v>128</v>
      </c>
      <c r="C20" s="24">
        <f>SUMIFS(T_dados[VALOR],T_dados[CONTA],C16,T_dados[CATEGORIA],"Renda",T_dados[CATEGORIA],"&lt;&gt;Transferência",T_dados[DATA],"&gt;="&amp;MAR_I,T_dados[DATA],"&lt;="&amp;MAR_F)+SUMIFS(T_dados[VALOR],T_dados[CONTA],C16,T_dados[CATEGORIA],"Transferência",T_dados[SUBCATEGORIA],"Entrada",T_dados[DATA],"&gt;="&amp;MAR_I,T_dados[DATA],"&lt;="&amp;MAR_F)</f>
        <v>0</v>
      </c>
      <c r="D20" s="24">
        <f>SUMIFS(T_dados[VALOR],T_dados[CONTA],C16,T_dados[CATEGORIA],"&lt;&gt;Renda",T_dados[CATEGORIA],"&lt;&gt;Transferência",T_dados[DATA],"&gt;="&amp;MAR_I,T_dados[DATA],"&lt;="&amp;MAR_F)+SUMIFS(T_dados[VALOR],T_dados[CONTA],C16,T_dados[CATEGORIA],"Transferência",T_dados[SUBCATEGORIA],"Saída",T_dados[DATA],"&gt;="&amp;MAR_I,T_dados[DATA],"&lt;="&amp;MAR_F)</f>
        <v>0</v>
      </c>
      <c r="E20" s="25">
        <f>Table12[[#This Row],[ENTRADA]]-Table12[[#This Row],[SAÍDA]]</f>
        <v>0</v>
      </c>
      <c r="F20" s="26">
        <f>F19+Table12[[#This Row],[SALDO]]</f>
        <v>0</v>
      </c>
      <c r="H20" s="24">
        <f>SUMIFS(T_dados[VALOR],T_dados[CONTA],H16,T_dados[CATEGORIA],"Renda",T_dados[CATEGORIA],"&lt;&gt;Transferência",T_dados[DATA],"&gt;="&amp;MAR_I,T_dados[DATA],"&lt;="&amp;MAR_F)+SUMIFS(T_dados[VALOR],T_dados[CONTA],H16,T_dados[CATEGORIA],"Transferência",T_dados[SUBCATEGORIA],"Entrada",T_dados[DATA],"&gt;="&amp;MAR_I,T_dados[DATA],"&lt;="&amp;MAR_F)</f>
        <v>0</v>
      </c>
      <c r="I20" s="24">
        <f>SUMIFS(T_dados[VALOR],T_dados[CONTA],H16,T_dados[CATEGORIA],"&lt;&gt;Renda",T_dados[CATEGORIA],"&lt;&gt;Transferência",T_dados[DATA],"&gt;="&amp;MAR_I,T_dados[DATA],"&lt;="&amp;MAR_F)+SUMIFS(T_dados[VALOR],T_dados[CONTA],H16,T_dados[CATEGORIA],"Transferência",T_dados[SUBCATEGORIA],"Saída",T_dados[DATA],"&gt;="&amp;MAR_I,T_dados[DATA],"&lt;="&amp;MAR_F)</f>
        <v>0</v>
      </c>
      <c r="J20" s="25">
        <f>Table1214[[#This Row],[ENTRADA]]-Table1214[[#This Row],[SAÍDA]]</f>
        <v>0</v>
      </c>
      <c r="K20" s="26">
        <f>K19+Table1214[[#This Row],[SALDO]]</f>
        <v>0</v>
      </c>
      <c r="M20" s="24">
        <f>SUMIFS(T_dados[VALOR],T_dados[CONTA],M16,T_dados[CATEGORIA],"Renda",T_dados[CATEGORIA],"&lt;&gt;Transferência",T_dados[DATA],"&gt;="&amp;MAR_I,T_dados[DATA],"&lt;="&amp;MAR_F)+SUMIFS(T_dados[VALOR],T_dados[CONTA],M16,T_dados[CATEGORIA],"Transferência",T_dados[SUBCATEGORIA],"Entrada",T_dados[DATA],"&gt;="&amp;MAR_I,T_dados[DATA],"&lt;="&amp;MAR_F)</f>
        <v>0</v>
      </c>
      <c r="N20" s="24">
        <f>SUMIFS(T_dados[VALOR],T_dados[CONTA],M16,T_dados[CATEGORIA],"&lt;&gt;Renda",T_dados[CATEGORIA],"&lt;&gt;Transferência",T_dados[DATA],"&gt;="&amp;MAR_I,T_dados[DATA],"&lt;="&amp;MAR_F)+SUMIFS(T_dados[VALOR],T_dados[CONTA],M16,T_dados[CATEGORIA],"Transferência",T_dados[SUBCATEGORIA],"Saída",T_dados[DATA],"&gt;="&amp;MAR_I,T_dados[DATA],"&lt;="&amp;MAR_F)</f>
        <v>0</v>
      </c>
      <c r="O20" s="25">
        <f>Table1215[[#This Row],[ENTRADA]]-Table1215[[#This Row],[SAÍDA]]</f>
        <v>0</v>
      </c>
      <c r="P20" s="26">
        <f>P19+Table1215[[#This Row],[SALDO]]</f>
        <v>0</v>
      </c>
      <c r="R20" s="24">
        <f>SUMIFS(T_dados[VALOR],T_dados[CONTA],R16,T_dados[CATEGORIA],"Renda",T_dados[CATEGORIA],"&lt;&gt;Transferência",T_dados[DATA],"&gt;="&amp;MAR_I,T_dados[DATA],"&lt;="&amp;MAR_F)+SUMIFS(T_dados[VALOR],T_dados[CONTA],R16,T_dados[CATEGORIA],"Transferência",T_dados[SUBCATEGORIA],"Entrada",T_dados[DATA],"&gt;="&amp;MAR_I,T_dados[DATA],"&lt;="&amp;MAR_F)</f>
        <v>0</v>
      </c>
      <c r="S20" s="24">
        <f>SUMIFS(T_dados[VALOR],T_dados[CONTA],R16,T_dados[CATEGORIA],"&lt;&gt;Renda",T_dados[CATEGORIA],"&lt;&gt;Transferência",T_dados[DATA],"&gt;="&amp;MAR_I,T_dados[DATA],"&lt;="&amp;MAR_F)+SUMIFS(T_dados[VALOR],T_dados[CONTA],R16,T_dados[CATEGORIA],"Transferência",T_dados[SUBCATEGORIA],"Saída",T_dados[DATA],"&gt;="&amp;MAR_I,T_dados[DATA],"&lt;="&amp;MAR_F)</f>
        <v>0</v>
      </c>
      <c r="T20" s="25">
        <f>Table1216[[#This Row],[ENTRADA]]-Table1216[[#This Row],[SAÍDA]]</f>
        <v>0</v>
      </c>
      <c r="U20" s="26">
        <f>U19+Table1216[[#This Row],[SALDO]]</f>
        <v>0</v>
      </c>
      <c r="W20" s="24">
        <f>SUMIFS(T_dados[VALOR],T_dados[CONTA],W16,T_dados[CATEGORIA],"Renda",T_dados[DATA],"&gt;="&amp;MAR_I,T_dados[DATA],"&lt;="&amp;MAR_F)+SUMIFS(T_dados[VALOR],T_dados[CONTA],W16,T_dados[CATEGORIA],"Transferência",T_dados[SUBCATEGORIA],"Entrada",T_dados[DATA],"&gt;="&amp;MAR_I,T_dados[DATA],"&lt;="&amp;MAR_F)</f>
        <v>0</v>
      </c>
      <c r="X20" s="24">
        <f>SUMIFS(T_dados[VALOR],T_dados[CONTA],W16,T_dados[CATEGORIA],"&lt;&gt;Renda",T_dados[CATEGORIA],"&lt;&gt;Transferência",T_dados[DATA],"&gt;="&amp;MAR_I,T_dados[DATA],"&lt;="&amp;MAR_F)+SUMIFS(T_dados[VALOR],T_dados[CONTA],X16,T_dados[CATEGORIA],"Transferência",T_dados[SUBCATEGORIA],"Saída",T_dados[DATA],"&gt;="&amp;MAR_I,T_dados[DATA],"&lt;="&amp;MAR_F)</f>
        <v>0</v>
      </c>
      <c r="Y20" s="25">
        <f>Table121612[[#This Row],[ENTRADA]]-Table121612[[#This Row],[SAÍDA]]</f>
        <v>0</v>
      </c>
      <c r="Z20" s="26">
        <f>Z19+Table121612[[#This Row],[SALDO]]</f>
        <v>0</v>
      </c>
    </row>
    <row r="21" spans="1:46" x14ac:dyDescent="0.25">
      <c r="A21" s="3" t="s">
        <v>129</v>
      </c>
      <c r="C21" s="24">
        <f>SUMIFS(T_dados[VALOR],T_dados[CONTA],C16,T_dados[CATEGORIA],"Renda",T_dados[CATEGORIA],"&lt;&gt;Transferência",T_dados[DATA],"&gt;="&amp;ABR_I,T_dados[DATA],"&lt;="&amp;ABR_F)+SUMIFS(T_dados[VALOR],T_dados[CONTA],C16,T_dados[CATEGORIA],"Transferência",T_dados[SUBCATEGORIA],"Entrada",T_dados[DATA],"&gt;="&amp;ABR_I,T_dados[DATA],"&lt;="&amp;ABR_F)</f>
        <v>0</v>
      </c>
      <c r="D21" s="24">
        <f>SUMIFS(T_dados[VALOR],T_dados[CONTA],C16,T_dados[CATEGORIA],"&lt;&gt;Renda",T_dados[CATEGORIA],"&lt;&gt;Transferência",T_dados[CATEGORIA],"&lt;&gt;Transferência",T_dados[DATA],"&gt;="&amp;ABR_I,T_dados[DATA],"&lt;="&amp;ABR_F)+SUMIFS(T_dados[VALOR],T_dados[CONTA],C16,T_dados[CATEGORIA],"Transferência",T_dados[SUBCATEGORIA],"Saída",T_dados[DATA],"&gt;="&amp;ABR_I,T_dados[DATA],"&lt;="&amp;ABR_F)</f>
        <v>0</v>
      </c>
      <c r="E21" s="25">
        <f>Table12[[#This Row],[ENTRADA]]-Table12[[#This Row],[SAÍDA]]</f>
        <v>0</v>
      </c>
      <c r="F21" s="26">
        <f>F20+Table12[[#This Row],[SALDO]]</f>
        <v>0</v>
      </c>
      <c r="H21" s="24">
        <f>SUMIFS(T_dados[VALOR],T_dados[CONTA],H16,T_dados[CATEGORIA],"Renda",T_dados[CATEGORIA],"&lt;&gt;Transferência",T_dados[DATA],"&gt;="&amp;ABR_I,T_dados[DATA],"&lt;="&amp;ABR_F)+SUMIFS(T_dados[VALOR],T_dados[CONTA],H16,T_dados[CATEGORIA],"Transferência",T_dados[SUBCATEGORIA],"Entrada",T_dados[DATA],"&gt;="&amp;ABR_I,T_dados[DATA],"&lt;="&amp;ABR_F)</f>
        <v>0</v>
      </c>
      <c r="I21" s="24">
        <f>SUMIFS(T_dados[VALOR],T_dados[CONTA],H16,T_dados[CATEGORIA],"&lt;&gt;Renda",T_dados[CATEGORIA],"&lt;&gt;Transferência",T_dados[DATA],"&gt;="&amp;ABR_I,T_dados[DATA],"&lt;="&amp;ABR_F)+SUMIFS(T_dados[VALOR],T_dados[CONTA],H16,T_dados[CATEGORIA],"Transferência",T_dados[SUBCATEGORIA],"Saída",T_dados[DATA],"&gt;="&amp;ABR_I,T_dados[DATA],"&lt;="&amp;ABR_F)</f>
        <v>0</v>
      </c>
      <c r="J21" s="25">
        <f>Table1214[[#This Row],[ENTRADA]]-Table1214[[#This Row],[SAÍDA]]</f>
        <v>0</v>
      </c>
      <c r="K21" s="26">
        <f>K20+Table1214[[#This Row],[SALDO]]</f>
        <v>0</v>
      </c>
      <c r="M21" s="24">
        <f>SUMIFS(T_dados[VALOR],T_dados[CONTA],M16,T_dados[CATEGORIA],"Renda",T_dados[CATEGORIA],"&lt;&gt;Transferência",T_dados[DATA],"&gt;="&amp;ABR_I,T_dados[DATA],"&lt;="&amp;ABR_F)+SUMIFS(T_dados[VALOR],T_dados[CONTA],M16,T_dados[CATEGORIA],"Transferência",T_dados[SUBCATEGORIA],"Entrada",T_dados[DATA],"&gt;="&amp;ABR_I,T_dados[DATA],"&lt;="&amp;ABR_F)</f>
        <v>0</v>
      </c>
      <c r="N21" s="24">
        <f>SUMIFS(T_dados[VALOR],T_dados[CONTA],M16,T_dados[CATEGORIA],"&lt;&gt;Renda",T_dados[CATEGORIA],"&lt;&gt;Transferência",T_dados[DATA],"&gt;="&amp;ABR_I,T_dados[DATA],"&lt;="&amp;ABR_F)+SUMIFS(T_dados[VALOR],T_dados[CONTA],M16,T_dados[CATEGORIA],"Transferência",T_dados[SUBCATEGORIA],"Saída",T_dados[DATA],"&gt;="&amp;ABR_I,T_dados[DATA],"&lt;="&amp;ABR_F)</f>
        <v>0</v>
      </c>
      <c r="O21" s="25">
        <f>Table1215[[#This Row],[ENTRADA]]-Table1215[[#This Row],[SAÍDA]]</f>
        <v>0</v>
      </c>
      <c r="P21" s="26">
        <f>P20+Table1215[[#This Row],[SALDO]]</f>
        <v>0</v>
      </c>
      <c r="R21" s="24">
        <f>SUMIFS(T_dados[VALOR],T_dados[CONTA],R16,T_dados[CATEGORIA],"Renda",T_dados[CATEGORIA],"&lt;&gt;Transferência",T_dados[DATA],"&gt;="&amp;ABR_I,T_dados[DATA],"&lt;="&amp;ABR_F)+SUMIFS(T_dados[VALOR],T_dados[CONTA],R16,T_dados[CATEGORIA],"Transferência",T_dados[SUBCATEGORIA],"Entrada",T_dados[DATA],"&gt;="&amp;ABR_I,T_dados[DATA],"&lt;="&amp;ABR_F)</f>
        <v>0</v>
      </c>
      <c r="S21" s="24">
        <f>SUMIFS(T_dados[VALOR],T_dados[CONTA],R16,T_dados[CATEGORIA],"&lt;&gt;Renda",T_dados[CATEGORIA],"&lt;&gt;Transferência",T_dados[DATA],"&gt;="&amp;ABR_I,T_dados[DATA],"&lt;="&amp;ABR_F)+SUMIFS(T_dados[VALOR],T_dados[CONTA],R16,T_dados[CATEGORIA],"Transferência",T_dados[SUBCATEGORIA],"Saída",T_dados[DATA],"&gt;="&amp;ABR_I,T_dados[DATA],"&lt;="&amp;ABR_F)</f>
        <v>0</v>
      </c>
      <c r="T21" s="25">
        <f>Table1216[[#This Row],[ENTRADA]]-Table1216[[#This Row],[SAÍDA]]</f>
        <v>0</v>
      </c>
      <c r="U21" s="26">
        <f>U20+Table1216[[#This Row],[SALDO]]</f>
        <v>0</v>
      </c>
      <c r="W21" s="24">
        <f>SUMIFS(T_dados[VALOR],T_dados[CONTA],W16,T_dados[CATEGORIA],"Renda",T_dados[DATA],"&gt;="&amp;ABR_I,T_dados[DATA],"&lt;="&amp;ABR_F)+SUMIFS(T_dados[VALOR],T_dados[CONTA],W16,T_dados[CATEGORIA],"Transferência",T_dados[SUBCATEGORIA],"Entrada",T_dados[DATA],"&gt;="&amp;ABR_I,T_dados[DATA],"&lt;="&amp;ABR_F)</f>
        <v>0</v>
      </c>
      <c r="X21" s="24">
        <f>SUMIFS(T_dados[VALOR],T_dados[CONTA],W16,T_dados[CATEGORIA],"&lt;&gt;Renda",T_dados[CATEGORIA],"&lt;&gt;Transferência",T_dados[DATA],"&gt;="&amp;ABR_I,T_dados[DATA],"&lt;="&amp;ABR_F)+SUMIFS(T_dados[VALOR],T_dados[CONTA],X16,T_dados[CATEGORIA],"Transferência",T_dados[SUBCATEGORIA],"Saída",T_dados[DATA],"&gt;="&amp;ABR_I,T_dados[DATA],"&lt;="&amp;ABR_F)</f>
        <v>0</v>
      </c>
      <c r="Y21" s="25">
        <f>Table121612[[#This Row],[ENTRADA]]-Table121612[[#This Row],[SAÍDA]]</f>
        <v>0</v>
      </c>
      <c r="Z21" s="26">
        <f>Z20+Table121612[[#This Row],[SALDO]]</f>
        <v>0</v>
      </c>
    </row>
    <row r="22" spans="1:46" x14ac:dyDescent="0.25">
      <c r="A22" s="3" t="s">
        <v>130</v>
      </c>
      <c r="C22" s="24">
        <f>SUMIFS(T_dados[VALOR],T_dados[CONTA],C16,T_dados[CATEGORIA],"Renda",T_dados[CATEGORIA],"&lt;&gt;Transferência",T_dados[DATA],"&gt;="&amp;MAI_I,T_dados[DATA],"&lt;="&amp;MAI_F)+SUMIFS(T_dados[VALOR],T_dados[CONTA],C16,T_dados[CATEGORIA],"Transferência",T_dados[SUBCATEGORIA],"Entrada",T_dados[DATA],"&gt;="&amp;MAI_I,T_dados[DATA],"&lt;="&amp;MAI_F)</f>
        <v>0</v>
      </c>
      <c r="D22" s="24">
        <f>SUMIFS(T_dados[VALOR],T_dados[CONTA],C16,T_dados[CATEGORIA],"&lt;&gt;Renda",T_dados[CATEGORIA],"&lt;&gt;Transferência",T_dados[DATA],"&gt;="&amp;MAI_I,T_dados[DATA],"&lt;="&amp;MAI_F)+SUMIFS(T_dados[VALOR],T_dados[CONTA],C16,T_dados[CATEGORIA],"Transferência",T_dados[SUBCATEGORIA],"Saída",T_dados[DATA],"&gt;="&amp;MAI_I,T_dados[DATA],"&lt;="&amp;MAI_F)</f>
        <v>0</v>
      </c>
      <c r="E22" s="25">
        <f>Table12[[#This Row],[ENTRADA]]-Table12[[#This Row],[SAÍDA]]</f>
        <v>0</v>
      </c>
      <c r="F22" s="26">
        <f>F21+Table12[[#This Row],[SALDO]]</f>
        <v>0</v>
      </c>
      <c r="H22" s="24">
        <f>SUMIFS(T_dados[VALOR],T_dados[CONTA],H16,T_dados[CATEGORIA],"Renda",T_dados[CATEGORIA],"&lt;&gt;Transferência",T_dados[DATA],"&gt;="&amp;MAI_I,T_dados[DATA],"&lt;="&amp;MAI_F)+SUMIFS(T_dados[VALOR],T_dados[CONTA],H16,T_dados[CATEGORIA],"Transferência",T_dados[SUBCATEGORIA],"Entrada",T_dados[DATA],"&gt;="&amp;MAI_I,T_dados[DATA],"&lt;="&amp;MAI_F)</f>
        <v>0</v>
      </c>
      <c r="I22" s="24">
        <f>SUMIFS(T_dados[VALOR],T_dados[CONTA],H16,T_dados[CATEGORIA],"&lt;&gt;Renda",T_dados[CATEGORIA],"&lt;&gt;Transferência",T_dados[DATA],"&gt;="&amp;MAI_I,T_dados[DATA],"&lt;="&amp;MAI_F)+SUMIFS(T_dados[VALOR],T_dados[CONTA],H16,T_dados[CATEGORIA],"Transferência",T_dados[SUBCATEGORIA],"Saída",T_dados[DATA],"&gt;="&amp;MAI_I,T_dados[DATA],"&lt;="&amp;MAI_F)</f>
        <v>0</v>
      </c>
      <c r="J22" s="25">
        <f>Table1214[[#This Row],[ENTRADA]]-Table1214[[#This Row],[SAÍDA]]</f>
        <v>0</v>
      </c>
      <c r="K22" s="26">
        <f>K21+Table1214[[#This Row],[SALDO]]</f>
        <v>0</v>
      </c>
      <c r="M22" s="24">
        <f>SUMIFS(T_dados[VALOR],T_dados[CONTA],M16,T_dados[CATEGORIA],"Renda",T_dados[CATEGORIA],"&lt;&gt;Transferência",T_dados[DATA],"&gt;="&amp;MAI_I,T_dados[DATA],"&lt;="&amp;MAI_F)+SUMIFS(T_dados[VALOR],T_dados[CONTA],M16,T_dados[CATEGORIA],"Transferência",T_dados[SUBCATEGORIA],"Entrada",T_dados[DATA],"&gt;="&amp;MAI_I,T_dados[DATA],"&lt;="&amp;MAI_F)</f>
        <v>0</v>
      </c>
      <c r="N22" s="24">
        <f>SUMIFS(T_dados[VALOR],T_dados[CONTA],M16,T_dados[CATEGORIA],"&lt;&gt;Renda",T_dados[CATEGORIA],"&lt;&gt;Transferência",T_dados[DATA],"&gt;="&amp;MAI_I,T_dados[DATA],"&lt;="&amp;MAI_F)+SUMIFS(T_dados[VALOR],T_dados[CONTA],M16,T_dados[CATEGORIA],"Transferência",T_dados[SUBCATEGORIA],"Saída",T_dados[DATA],"&gt;="&amp;MAI_I,T_dados[DATA],"&lt;="&amp;MAI_F)</f>
        <v>0</v>
      </c>
      <c r="O22" s="25">
        <f>Table1215[[#This Row],[ENTRADA]]-Table1215[[#This Row],[SAÍDA]]</f>
        <v>0</v>
      </c>
      <c r="P22" s="26">
        <f>P21+Table1215[[#This Row],[SALDO]]</f>
        <v>0</v>
      </c>
      <c r="R22" s="24">
        <f>SUMIFS(T_dados[VALOR],T_dados[CONTA],R16,T_dados[CATEGORIA],"Renda",T_dados[CATEGORIA],"&lt;&gt;Transferência",T_dados[DATA],"&gt;="&amp;MAI_I,T_dados[DATA],"&lt;="&amp;MAI_F)+SUMIFS(T_dados[VALOR],T_dados[CONTA],R16,T_dados[CATEGORIA],"Transferência",T_dados[SUBCATEGORIA],"Entrada",T_dados[DATA],"&gt;="&amp;MAI_I,T_dados[DATA],"&lt;="&amp;MAI_F)</f>
        <v>0</v>
      </c>
      <c r="S22" s="24">
        <f>SUMIFS(T_dados[VALOR],T_dados[CONTA],R16,T_dados[CATEGORIA],"&lt;&gt;Renda",T_dados[CATEGORIA],"&lt;&gt;Transferência",T_dados[DATA],"&gt;="&amp;MAI_I,T_dados[DATA],"&lt;="&amp;MAI_F)+SUMIFS(T_dados[VALOR],T_dados[CONTA],R16,T_dados[CATEGORIA],"Transferência",T_dados[SUBCATEGORIA],"Saída",T_dados[DATA],"&gt;="&amp;MAI_I,T_dados[DATA],"&lt;="&amp;MAI_F)</f>
        <v>0</v>
      </c>
      <c r="T22" s="25">
        <f>Table1216[[#This Row],[ENTRADA]]-Table1216[[#This Row],[SAÍDA]]</f>
        <v>0</v>
      </c>
      <c r="U22" s="26">
        <f>U21+Table1216[[#This Row],[SALDO]]</f>
        <v>0</v>
      </c>
      <c r="W22" s="24">
        <f>SUMIFS(T_dados[VALOR],T_dados[CONTA],W16,T_dados[CATEGORIA],"Renda",T_dados[DATA],"&gt;="&amp;MAI_I,T_dados[DATA],"&lt;="&amp;MAI_F)+SUMIFS(T_dados[VALOR],T_dados[CONTA],W16,T_dados[CATEGORIA],"Transferência",T_dados[SUBCATEGORIA],"Entrada",T_dados[DATA],"&gt;="&amp;MAI_I,T_dados[DATA],"&lt;="&amp;MAI_F)</f>
        <v>0</v>
      </c>
      <c r="X22" s="24">
        <f>SUMIFS(T_dados[VALOR],T_dados[CONTA],W16,T_dados[CATEGORIA],"&lt;&gt;Renda",T_dados[CATEGORIA],"&lt;&gt;Transferência",T_dados[DATA],"&gt;="&amp;MAI_I,T_dados[DATA],"&lt;="&amp;MAI_F)+SUMIFS(T_dados[VALOR],T_dados[CONTA],X16,T_dados[CATEGORIA],"Transferência",T_dados[SUBCATEGORIA],"Saída",T_dados[DATA],"&gt;="&amp;MAI_I,T_dados[DATA],"&lt;="&amp;MAI_F)</f>
        <v>0</v>
      </c>
      <c r="Y22" s="25">
        <f>Table121612[[#This Row],[ENTRADA]]-Table121612[[#This Row],[SAÍDA]]</f>
        <v>0</v>
      </c>
      <c r="Z22" s="26">
        <f>Z21+Table121612[[#This Row],[SALDO]]</f>
        <v>0</v>
      </c>
    </row>
    <row r="23" spans="1:46" x14ac:dyDescent="0.25">
      <c r="A23" s="3" t="s">
        <v>131</v>
      </c>
      <c r="C23" s="24">
        <f>SUMIFS(T_dados[VALOR],T_dados[CONTA],C16,T_dados[CATEGORIA],"Renda",T_dados[CATEGORIA],"&lt;&gt;Transferência",T_dados[DATA],"&gt;="&amp;JUN_I,T_dados[DATA],"&lt;="&amp;JUN_F)+SUMIFS(T_dados[VALOR],T_dados[CONTA],C16,T_dados[CATEGORIA],"Transferência",T_dados[SUBCATEGORIA],"Entrada",T_dados[DATA],"&gt;="&amp;JUN_I,T_dados[DATA],"&lt;="&amp;JUN_F)</f>
        <v>0</v>
      </c>
      <c r="D23" s="24">
        <f>SUMIFS(T_dados[VALOR],T_dados[CONTA],C16,T_dados[CATEGORIA],"&lt;&gt;Renda",T_dados[CATEGORIA],"&lt;&gt;Transferência",T_dados[DATA],"&gt;="&amp;JUN_I,T_dados[DATA],"&lt;="&amp;JUN_F)+SUMIFS(T_dados[VALOR],T_dados[CONTA],C16,T_dados[CATEGORIA],"Transferência",T_dados[SUBCATEGORIA],"Saída",T_dados[DATA],"&gt;="&amp;JUN_I,T_dados[DATA],"&lt;="&amp;JUN_F)</f>
        <v>0</v>
      </c>
      <c r="E23" s="25">
        <f>Table12[[#This Row],[ENTRADA]]-Table12[[#This Row],[SAÍDA]]</f>
        <v>0</v>
      </c>
      <c r="F23" s="26">
        <f>F22+Table12[[#This Row],[SALDO]]</f>
        <v>0</v>
      </c>
      <c r="H23" s="24">
        <f>SUMIFS(T_dados[VALOR],T_dados[CONTA],H16,T_dados[CATEGORIA],"Renda",T_dados[CATEGORIA],"&lt;&gt;Transferência",T_dados[DATA],"&gt;="&amp;JUN_I,T_dados[DATA],"&lt;="&amp;JUN_F)+SUMIFS(T_dados[VALOR],T_dados[CONTA],H16,T_dados[CATEGORIA],"Transferência",T_dados[SUBCATEGORIA],"Entrada",T_dados[DATA],"&gt;="&amp;JUN_I,T_dados[DATA],"&lt;="&amp;JUN_F)</f>
        <v>0</v>
      </c>
      <c r="I23" s="24">
        <f>SUMIFS(T_dados[VALOR],T_dados[CONTA],H16,T_dados[CATEGORIA],"&lt;&gt;Renda",T_dados[CATEGORIA],"&lt;&gt;Transferência",T_dados[DATA],"&gt;="&amp;JUN_I,T_dados[DATA],"&lt;="&amp;JUN_F)+SUMIFS(T_dados[VALOR],T_dados[CONTA],H16,T_dados[CATEGORIA],"Transferência",T_dados[SUBCATEGORIA],"Saída",T_dados[DATA],"&gt;="&amp;JUN_I,T_dados[DATA],"&lt;="&amp;JUN_F)</f>
        <v>0</v>
      </c>
      <c r="J23" s="25">
        <f>Table1214[[#This Row],[ENTRADA]]-Table1214[[#This Row],[SAÍDA]]</f>
        <v>0</v>
      </c>
      <c r="K23" s="26">
        <f>K22+Table1214[[#This Row],[SALDO]]</f>
        <v>0</v>
      </c>
      <c r="M23" s="24">
        <f>SUMIFS(T_dados[VALOR],T_dados[CONTA],M16,T_dados[CATEGORIA],"Renda",T_dados[CATEGORIA],"&lt;&gt;Transferência",T_dados[DATA],"&gt;="&amp;JUN_I,T_dados[DATA],"&lt;="&amp;JUN_F)+SUMIFS(T_dados[VALOR],T_dados[CONTA],M16,T_dados[CATEGORIA],"Transferência",T_dados[SUBCATEGORIA],"Entrada",T_dados[DATA],"&gt;="&amp;JUN_I,T_dados[DATA],"&lt;="&amp;JUN_F)</f>
        <v>0</v>
      </c>
      <c r="N23" s="24">
        <f>SUMIFS(T_dados[VALOR],T_dados[CONTA],M16,T_dados[CATEGORIA],"&lt;&gt;Renda",T_dados[CATEGORIA],"&lt;&gt;Transferência",T_dados[DATA],"&gt;="&amp;JUN_I,T_dados[DATA],"&lt;="&amp;JUN_F)+SUMIFS(T_dados[VALOR],T_dados[CONTA],M16,T_dados[CATEGORIA],"Transferência",T_dados[SUBCATEGORIA],"Saída",T_dados[DATA],"&gt;="&amp;JUN_I,T_dados[DATA],"&lt;="&amp;JUN_F)</f>
        <v>0</v>
      </c>
      <c r="O23" s="25">
        <f>Table1215[[#This Row],[ENTRADA]]-Table1215[[#This Row],[SAÍDA]]</f>
        <v>0</v>
      </c>
      <c r="P23" s="26">
        <f>P22+Table1215[[#This Row],[SALDO]]</f>
        <v>0</v>
      </c>
      <c r="R23" s="24">
        <f>SUMIFS(T_dados[VALOR],T_dados[CONTA],R16,T_dados[CATEGORIA],"Renda",T_dados[CATEGORIA],"&lt;&gt;Transferência",T_dados[DATA],"&gt;="&amp;JUN_I,T_dados[DATA],"&lt;="&amp;JUN_F)+SUMIFS(T_dados[VALOR],T_dados[CONTA],R16,T_dados[CATEGORIA],"Transferência",T_dados[SUBCATEGORIA],"Entrada",T_dados[DATA],"&gt;="&amp;JUN_I,T_dados[DATA],"&lt;="&amp;JUN_F)</f>
        <v>0</v>
      </c>
      <c r="S23" s="24">
        <f>SUMIFS(T_dados[VALOR],T_dados[CONTA],R16,T_dados[CATEGORIA],"&lt;&gt;Renda",T_dados[CATEGORIA],"&lt;&gt;Transferência",T_dados[DATA],"&gt;="&amp;JUN_I,T_dados[DATA],"&lt;="&amp;JUN_F)+SUMIFS(T_dados[VALOR],T_dados[CONTA],R16,T_dados[CATEGORIA],"Transferência",T_dados[SUBCATEGORIA],"Saída",T_dados[DATA],"&gt;="&amp;JUN_I,T_dados[DATA],"&lt;="&amp;JUN_F)</f>
        <v>0</v>
      </c>
      <c r="T23" s="25">
        <f>Table1216[[#This Row],[ENTRADA]]-Table1216[[#This Row],[SAÍDA]]</f>
        <v>0</v>
      </c>
      <c r="U23" s="26">
        <f>U22+Table1216[[#This Row],[SALDO]]</f>
        <v>0</v>
      </c>
      <c r="W23" s="24">
        <f>SUMIFS(T_dados[VALOR],T_dados[CONTA],W16,T_dados[CATEGORIA],"Renda",T_dados[DATA],"&gt;="&amp;JUN_I,T_dados[DATA],"&lt;="&amp;JUN_F)+SUMIFS(T_dados[VALOR],T_dados[CONTA],W16,T_dados[CATEGORIA],"Transferência",T_dados[SUBCATEGORIA],"Entrada",T_dados[DATA],"&gt;="&amp;JUN_I,T_dados[DATA],"&lt;="&amp;JUN_F)</f>
        <v>0</v>
      </c>
      <c r="X23" s="24">
        <f>SUMIFS(T_dados[VALOR],T_dados[CONTA],W16,T_dados[CATEGORIA],"&lt;&gt;Renda",T_dados[CATEGORIA],"&lt;&gt;Transferência",T_dados[DATA],"&gt;="&amp;JUN_I,T_dados[DATA],"&lt;="&amp;JUN_F)+SUMIFS(T_dados[VALOR],T_dados[CONTA],X16,T_dados[CATEGORIA],"Transferência",T_dados[SUBCATEGORIA],"Saída",T_dados[DATA],"&gt;="&amp;JUN_I,T_dados[DATA],"&lt;="&amp;JUN_F)</f>
        <v>0</v>
      </c>
      <c r="Y23" s="25">
        <f>Table121612[[#This Row],[ENTRADA]]-Table121612[[#This Row],[SAÍDA]]</f>
        <v>0</v>
      </c>
      <c r="Z23" s="26">
        <f>Z22+Table121612[[#This Row],[SALDO]]</f>
        <v>0</v>
      </c>
    </row>
    <row r="24" spans="1:46" x14ac:dyDescent="0.25">
      <c r="A24" s="3" t="s">
        <v>132</v>
      </c>
      <c r="C24" s="24">
        <f>SUMIFS(T_dados[VALOR],T_dados[CONTA],C16,T_dados[CATEGORIA],"Renda",T_dados[CATEGORIA],"&lt;&gt;Transferência",T_dados[DATA],"&gt;="&amp;JUL_I,T_dados[DATA],"&lt;="&amp;JUL_F)+SUMIFS(T_dados[VALOR],T_dados[CONTA],C16,T_dados[CATEGORIA],"Transferência",T_dados[SUBCATEGORIA],"Entrada",T_dados[DATA],"&gt;="&amp;JUL_I,T_dados[DATA],"&lt;="&amp;JUL_F)</f>
        <v>0</v>
      </c>
      <c r="D24" s="24">
        <f>SUMIFS(T_dados[VALOR],T_dados[CONTA],C16,T_dados[CATEGORIA],"&lt;&gt;Renda",T_dados[CATEGORIA],"&lt;&gt;Transferência",T_dados[DATA],"&gt;="&amp;JUL_I,T_dados[DATA],"&lt;="&amp;JUL_F)+SUMIFS(T_dados[VALOR],T_dados[CONTA],C16,T_dados[CATEGORIA],"Transferência",T_dados[SUBCATEGORIA],"Saída",T_dados[DATA],"&gt;="&amp;JUL_I,T_dados[DATA],"&lt;="&amp;JUL_F)</f>
        <v>0</v>
      </c>
      <c r="E24" s="25">
        <f>Table12[[#This Row],[ENTRADA]]-Table12[[#This Row],[SAÍDA]]</f>
        <v>0</v>
      </c>
      <c r="F24" s="26">
        <f>F23+Table12[[#This Row],[SALDO]]</f>
        <v>0</v>
      </c>
      <c r="H24" s="24">
        <f>SUMIFS(T_dados[VALOR],T_dados[CONTA],H16,T_dados[CATEGORIA],"Renda",T_dados[CATEGORIA],"&lt;&gt;Transferência",T_dados[DATA],"&gt;="&amp;JUL_I,T_dados[DATA],"&lt;="&amp;JUL_F)+SUMIFS(T_dados[VALOR],T_dados[CONTA],H16,T_dados[CATEGORIA],"Transferência",T_dados[SUBCATEGORIA],"Entrada",T_dados[DATA],"&gt;="&amp;JUL_I,T_dados[DATA],"&lt;="&amp;JUL_F)</f>
        <v>0</v>
      </c>
      <c r="I24" s="24">
        <f>SUMIFS(T_dados[VALOR],T_dados[CONTA],H16,T_dados[CATEGORIA],"&lt;&gt;Renda",T_dados[CATEGORIA],"&lt;&gt;Transferência",T_dados[DATA],"&gt;="&amp;JUL_I,T_dados[DATA],"&lt;="&amp;JUL_F)+SUMIFS(T_dados[VALOR],T_dados[CONTA],H16,T_dados[CATEGORIA],"Transferência",T_dados[SUBCATEGORIA],"Saída",T_dados[DATA],"&gt;="&amp;JUL_I,T_dados[DATA],"&lt;="&amp;JUL_F)</f>
        <v>0</v>
      </c>
      <c r="J24" s="25">
        <f>Table1214[[#This Row],[ENTRADA]]-Table1214[[#This Row],[SAÍDA]]</f>
        <v>0</v>
      </c>
      <c r="K24" s="26">
        <f>K23+Table1214[[#This Row],[SALDO]]</f>
        <v>0</v>
      </c>
      <c r="M24" s="24">
        <f>SUMIFS(T_dados[VALOR],T_dados[CONTA],M16,T_dados[CATEGORIA],"Renda",T_dados[CATEGORIA],"&lt;&gt;Transferência",T_dados[DATA],"&gt;="&amp;JUL_I,T_dados[DATA],"&lt;="&amp;JUL_F)+SUMIFS(T_dados[VALOR],T_dados[CONTA],M16,T_dados[CATEGORIA],"Transferência",T_dados[SUBCATEGORIA],"Entrada",T_dados[DATA],"&gt;="&amp;JUL_I,T_dados[DATA],"&lt;="&amp;JUL_F)</f>
        <v>0</v>
      </c>
      <c r="N24" s="24">
        <f>SUMIFS(T_dados[VALOR],T_dados[CONTA],M16,T_dados[CATEGORIA],"&lt;&gt;Renda",T_dados[CATEGORIA],"&lt;&gt;Transferência",T_dados[DATA],"&gt;="&amp;JUL_I,T_dados[DATA],"&lt;="&amp;JUL_F)+SUMIFS(T_dados[VALOR],T_dados[CONTA],M16,T_dados[CATEGORIA],"Transferência",T_dados[SUBCATEGORIA],"Saída",T_dados[DATA],"&gt;="&amp;JUL_I,T_dados[DATA],"&lt;="&amp;JUL_F)</f>
        <v>0</v>
      </c>
      <c r="O24" s="25">
        <f>Table1215[[#This Row],[ENTRADA]]-Table1215[[#This Row],[SAÍDA]]</f>
        <v>0</v>
      </c>
      <c r="P24" s="26">
        <f>P23+Table1215[[#This Row],[SALDO]]</f>
        <v>0</v>
      </c>
      <c r="R24" s="24">
        <f>SUMIFS(T_dados[VALOR],T_dados[CONTA],R16,T_dados[CATEGORIA],"Renda",T_dados[CATEGORIA],"&lt;&gt;Transferência",T_dados[DATA],"&gt;="&amp;JUL_I,T_dados[DATA],"&lt;="&amp;JUL_F)+SUMIFS(T_dados[VALOR],T_dados[CONTA],R16,T_dados[CATEGORIA],"Transferência",T_dados[SUBCATEGORIA],"Entrada",T_dados[DATA],"&gt;="&amp;JUL_I,T_dados[DATA],"&lt;="&amp;JUL_F)</f>
        <v>0</v>
      </c>
      <c r="S24" s="24">
        <f>SUMIFS(T_dados[VALOR],T_dados[CONTA],R16,T_dados[CATEGORIA],"&lt;&gt;Renda",T_dados[CATEGORIA],"&lt;&gt;Transferência",T_dados[DATA],"&gt;="&amp;JUL_I,T_dados[DATA],"&lt;="&amp;JUL_F)+SUMIFS(T_dados[VALOR],T_dados[CONTA],R16,T_dados[CATEGORIA],"Transferência",T_dados[SUBCATEGORIA],"Saída",T_dados[DATA],"&gt;="&amp;JUL_I,T_dados[DATA],"&lt;="&amp;JUL_F)</f>
        <v>0</v>
      </c>
      <c r="T24" s="25">
        <f>Table1216[[#This Row],[ENTRADA]]-Table1216[[#This Row],[SAÍDA]]</f>
        <v>0</v>
      </c>
      <c r="U24" s="26">
        <f>U23+Table1216[[#This Row],[SALDO]]</f>
        <v>0</v>
      </c>
      <c r="W24" s="24">
        <f>SUMIFS(T_dados[VALOR],T_dados[CONTA],W16,T_dados[CATEGORIA],"Renda",T_dados[DATA],"&gt;="&amp;JUL_I,T_dados[DATA],"&lt;="&amp;JUL_F)+SUMIFS(T_dados[VALOR],T_dados[CONTA],W16,T_dados[CATEGORIA],"Transferência",T_dados[SUBCATEGORIA],"Entrada",T_dados[DATA],"&gt;="&amp;JUL_I,T_dados[DATA],"&lt;="&amp;JUL_F)</f>
        <v>0</v>
      </c>
      <c r="X24" s="24">
        <f>SUMIFS(T_dados[VALOR],T_dados[CONTA],W16,T_dados[CATEGORIA],"&lt;&gt;Renda",T_dados[CATEGORIA],"&lt;&gt;Transferência",T_dados[DATA],"&gt;="&amp;JUL_I,T_dados[DATA],"&lt;="&amp;JUL_F)+SUMIFS(T_dados[VALOR],T_dados[CONTA],X16,T_dados[CATEGORIA],"Transferência",T_dados[SUBCATEGORIA],"Saída",T_dados[DATA],"&gt;="&amp;JUL_I,T_dados[DATA],"&lt;="&amp;JUL_F)</f>
        <v>0</v>
      </c>
      <c r="Y24" s="25">
        <f>Table121612[[#This Row],[ENTRADA]]-Table121612[[#This Row],[SAÍDA]]</f>
        <v>0</v>
      </c>
      <c r="Z24" s="26">
        <f>Z23+Table121612[[#This Row],[SALDO]]</f>
        <v>0</v>
      </c>
    </row>
    <row r="25" spans="1:46" x14ac:dyDescent="0.25">
      <c r="A25" s="3" t="s">
        <v>133</v>
      </c>
      <c r="C25" s="24">
        <f>SUMIFS(T_dados[VALOR],T_dados[CONTA],C16,T_dados[CATEGORIA],"Renda",T_dados[CATEGORIA],"&lt;&gt;Transferência",T_dados[DATA],"&gt;="&amp;AGO_I,T_dados[DATA],"&lt;="&amp;AGO_F)+SUMIFS(T_dados[VALOR],T_dados[CONTA],C16,T_dados[CATEGORIA],"Transferência",T_dados[SUBCATEGORIA],"Entrada",T_dados[DATA],"&gt;="&amp;AGO_I,T_dados[DATA],"&lt;="&amp;AGO_F)</f>
        <v>0</v>
      </c>
      <c r="D25" s="24">
        <f>SUMIFS(T_dados[VALOR],T_dados[CONTA],C16,T_dados[CATEGORIA],"&lt;&gt;Renda",T_dados[CATEGORIA],"&lt;&gt;Transferência",T_dados[DATA],"&gt;="&amp;AGO_I,T_dados[DATA],"&lt;="&amp;AGO_F)+SUMIFS(T_dados[VALOR],T_dados[CONTA],C16,T_dados[CATEGORIA],"Transferência",T_dados[SUBCATEGORIA],"Saída",T_dados[DATA],"&gt;="&amp;AGO_I,T_dados[DATA],"&lt;="&amp;AGO_F)</f>
        <v>0</v>
      </c>
      <c r="E25" s="25">
        <f>Table12[[#This Row],[ENTRADA]]-Table12[[#This Row],[SAÍDA]]</f>
        <v>0</v>
      </c>
      <c r="F25" s="26">
        <f>F24+Table12[[#This Row],[SALDO]]</f>
        <v>0</v>
      </c>
      <c r="H25" s="24">
        <f>SUMIFS(T_dados[VALOR],T_dados[CONTA],H16,T_dados[CATEGORIA],"Renda",T_dados[CATEGORIA],"&lt;&gt;Transferência",T_dados[DATA],"&gt;="&amp;AGO_I,T_dados[DATA],"&lt;="&amp;AGO_F)+SUMIFS(T_dados[VALOR],T_dados[CONTA],H16,T_dados[CATEGORIA],"Transferência",T_dados[SUBCATEGORIA],"Entrada",T_dados[DATA],"&gt;="&amp;AGO_I,T_dados[DATA],"&lt;="&amp;AGO_F)</f>
        <v>0</v>
      </c>
      <c r="I25" s="24">
        <f>SUMIFS(T_dados[VALOR],T_dados[CONTA],H16,T_dados[CATEGORIA],"&lt;&gt;Renda",T_dados[CATEGORIA],"&lt;&gt;Transferência",T_dados[DATA],"&gt;="&amp;AGO_I,T_dados[DATA],"&lt;="&amp;AGO_F)+SUMIFS(T_dados[VALOR],T_dados[CONTA],H16,T_dados[CATEGORIA],"Transferência",T_dados[SUBCATEGORIA],"Saída",T_dados[DATA],"&gt;="&amp;AGO_I,T_dados[DATA],"&lt;="&amp;AGO_F)</f>
        <v>0</v>
      </c>
      <c r="J25" s="25">
        <f>Table1214[[#This Row],[ENTRADA]]-Table1214[[#This Row],[SAÍDA]]</f>
        <v>0</v>
      </c>
      <c r="K25" s="26">
        <f>K24+Table1214[[#This Row],[SALDO]]</f>
        <v>0</v>
      </c>
      <c r="M25" s="24">
        <f>SUMIFS(T_dados[VALOR],T_dados[CONTA],M16,T_dados[CATEGORIA],"Renda",T_dados[CATEGORIA],"&lt;&gt;Transferência",T_dados[DATA],"&gt;="&amp;AGO_I,T_dados[DATA],"&lt;="&amp;AGO_F)+SUMIFS(T_dados[VALOR],T_dados[CONTA],M16,T_dados[CATEGORIA],"Transferência",T_dados[SUBCATEGORIA],"Entrada",T_dados[DATA],"&gt;="&amp;AGO_I,T_dados[DATA],"&lt;="&amp;AGO_F)</f>
        <v>0</v>
      </c>
      <c r="N25" s="24">
        <f>SUMIFS(T_dados[VALOR],T_dados[CONTA],M16,T_dados[CATEGORIA],"&lt;&gt;Renda",T_dados[CATEGORIA],"&lt;&gt;Transferência",T_dados[DATA],"&gt;="&amp;AGO_I,T_dados[DATA],"&lt;="&amp;AGO_F)+SUMIFS(T_dados[VALOR],T_dados[CONTA],M16,T_dados[CATEGORIA],"Transferência",T_dados[SUBCATEGORIA],"Saída",T_dados[DATA],"&gt;="&amp;AGO_I,T_dados[DATA],"&lt;="&amp;AGO_F)</f>
        <v>0</v>
      </c>
      <c r="O25" s="25">
        <f>Table1215[[#This Row],[ENTRADA]]-Table1215[[#This Row],[SAÍDA]]</f>
        <v>0</v>
      </c>
      <c r="P25" s="26">
        <f>P24+Table1215[[#This Row],[SALDO]]</f>
        <v>0</v>
      </c>
      <c r="R25" s="24">
        <f>SUMIFS(T_dados[VALOR],T_dados[CONTA],R16,T_dados[CATEGORIA],"Renda",T_dados[CATEGORIA],"&lt;&gt;Transferência",T_dados[CATEGORIA],"&lt;&gt;Transferência",T_dados[DATA],"&gt;="&amp;AGO_I,T_dados[DATA],"&lt;="&amp;AGO_F)+SUMIFS(T_dados[VALOR],T_dados[CONTA],R16,T_dados[CATEGORIA],"Transferência",T_dados[SUBCATEGORIA],"Entrada",T_dados[DATA],"&gt;="&amp;AGO_I,T_dados[DATA],"&lt;="&amp;AGO_F)</f>
        <v>0</v>
      </c>
      <c r="S25" s="24">
        <f>SUMIFS(T_dados[VALOR],T_dados[CONTA],R16,T_dados[CATEGORIA],"&lt;&gt;Renda",T_dados[CATEGORIA],"&lt;&gt;Transferência",T_dados[DATA],"&gt;="&amp;AGO_I,T_dados[DATA],"&lt;="&amp;AGO_F)+SUMIFS(T_dados[VALOR],T_dados[CONTA],R16,T_dados[CATEGORIA],"Transferência",T_dados[SUBCATEGORIA],"Saída",T_dados[DATA],"&gt;="&amp;AGO_I,T_dados[DATA],"&lt;="&amp;AGO_F)</f>
        <v>0</v>
      </c>
      <c r="T25" s="25">
        <f>Table1216[[#This Row],[ENTRADA]]-Table1216[[#This Row],[SAÍDA]]</f>
        <v>0</v>
      </c>
      <c r="U25" s="26">
        <f>U24+Table1216[[#This Row],[SALDO]]</f>
        <v>0</v>
      </c>
      <c r="W25" s="24">
        <f>SUMIFS(T_dados[VALOR],T_dados[CONTA],W16,T_dados[CATEGORIA],"Renda",T_dados[DATA],"&gt;="&amp;AGO_I,T_dados[DATA],"&lt;="&amp;AGO_F)+SUMIFS(T_dados[VALOR],T_dados[CONTA],W16,T_dados[CATEGORIA],"Transferência",T_dados[SUBCATEGORIA],"Entrada",T_dados[DATA],"&gt;="&amp;AGO_I,T_dados[DATA],"&lt;="&amp;AGO_F)</f>
        <v>0</v>
      </c>
      <c r="X25" s="24">
        <f>SUMIFS(T_dados[VALOR],T_dados[CONTA],W16,T_dados[CATEGORIA],"&lt;&gt;Renda",T_dados[CATEGORIA],"&lt;&gt;Transferência",T_dados[DATA],"&gt;="&amp;AGO_I,T_dados[DATA],"&lt;="&amp;AGO_F)+SUMIFS(T_dados[VALOR],T_dados[CONTA],X16,T_dados[CATEGORIA],"Transferência",T_dados[SUBCATEGORIA],"Saída",T_dados[DATA],"&gt;="&amp;AGO_I,T_dados[DATA],"&lt;="&amp;AGO_F)</f>
        <v>0</v>
      </c>
      <c r="Y25" s="25">
        <f>Table121612[[#This Row],[ENTRADA]]-Table121612[[#This Row],[SAÍDA]]</f>
        <v>0</v>
      </c>
      <c r="Z25" s="26">
        <f>Z24+Table121612[[#This Row],[SALDO]]</f>
        <v>0</v>
      </c>
    </row>
    <row r="26" spans="1:46" x14ac:dyDescent="0.25">
      <c r="A26" s="3" t="s">
        <v>134</v>
      </c>
      <c r="C26" s="24">
        <f>SUMIFS(T_dados[VALOR],T_dados[CONTA],C16,T_dados[CATEGORIA],"Renda",T_dados[CATEGORIA],"&lt;&gt;Transferência",T_dados[DATA],"&gt;="&amp;SET_I,T_dados[DATA],"&lt;="&amp;SET_F)+SUMIFS(T_dados[VALOR],T_dados[CONTA],C16,T_dados[CATEGORIA],"Transferência",T_dados[SUBCATEGORIA],"Entrada",T_dados[DATA],"&gt;="&amp;SET_I,T_dados[DATA],"&lt;="&amp;SET_F)</f>
        <v>0</v>
      </c>
      <c r="D26" s="24">
        <f>SUMIFS(T_dados[VALOR],T_dados[CONTA],C16,T_dados[CATEGORIA],"&lt;&gt;Renda",T_dados[CATEGORIA],"&lt;&gt;Transferência",T_dados[DATA],"&gt;="&amp;SET_I,T_dados[DATA],"&lt;="&amp;SET_F)+SUMIFS(T_dados[VALOR],T_dados[CONTA],C16,T_dados[CATEGORIA],"Transferência",T_dados[SUBCATEGORIA],"Saída",T_dados[DATA],"&gt;="&amp;SET_I,T_dados[DATA],"&lt;="&amp;SET_F)</f>
        <v>0</v>
      </c>
      <c r="E26" s="25">
        <f>Table12[[#This Row],[ENTRADA]]-Table12[[#This Row],[SAÍDA]]</f>
        <v>0</v>
      </c>
      <c r="F26" s="26">
        <f>F25+Table12[[#This Row],[SALDO]]</f>
        <v>0</v>
      </c>
      <c r="H26" s="24">
        <f>SUMIFS(T_dados[VALOR],T_dados[CONTA],H16,T_dados[CATEGORIA],"Renda",T_dados[CATEGORIA],"&lt;&gt;Transferência",T_dados[DATA],"&gt;="&amp;SET_I,T_dados[DATA],"&lt;="&amp;SET_F)+SUMIFS(T_dados[VALOR],T_dados[CONTA],H16,T_dados[CATEGORIA],"Transferência",T_dados[SUBCATEGORIA],"Entrada",T_dados[DATA],"&gt;="&amp;SET_I,T_dados[DATA],"&lt;="&amp;SET_F)</f>
        <v>0</v>
      </c>
      <c r="I26" s="24">
        <f>SUMIFS(T_dados[VALOR],T_dados[CONTA],H16,T_dados[CATEGORIA],"&lt;&gt;Renda",T_dados[CATEGORIA],"&lt;&gt;Transferência",T_dados[DATA],"&gt;="&amp;SET_I,T_dados[DATA],"&lt;="&amp;SET_F)+SUMIFS(T_dados[VALOR],T_dados[CONTA],H16,T_dados[CATEGORIA],"Transferência",T_dados[SUBCATEGORIA],"Saída",T_dados[DATA],"&gt;="&amp;SET_I,T_dados[DATA],"&lt;="&amp;SET_F)</f>
        <v>0</v>
      </c>
      <c r="J26" s="25">
        <f>Table1214[[#This Row],[ENTRADA]]-Table1214[[#This Row],[SAÍDA]]</f>
        <v>0</v>
      </c>
      <c r="K26" s="26">
        <f>K25+Table1214[[#This Row],[SALDO]]</f>
        <v>0</v>
      </c>
      <c r="M26" s="24">
        <f>SUMIFS(T_dados[VALOR],T_dados[CONTA],M16,T_dados[CATEGORIA],"Renda",T_dados[CATEGORIA],"&lt;&gt;Transferência",T_dados[DATA],"&gt;="&amp;SET_I,T_dados[DATA],"&lt;="&amp;SET_F)+SUMIFS(T_dados[VALOR],T_dados[CONTA],M16,T_dados[CATEGORIA],"Transferência",T_dados[SUBCATEGORIA],"Entrada",T_dados[DATA],"&gt;="&amp;SET_I,T_dados[DATA],"&lt;="&amp;SET_F)</f>
        <v>0</v>
      </c>
      <c r="N26" s="24">
        <f>SUMIFS(T_dados[VALOR],T_dados[CONTA],M16,T_dados[CATEGORIA],"&lt;&gt;Renda",T_dados[CATEGORIA],"&lt;&gt;Transferência",T_dados[DATA],"&gt;="&amp;SET_I,T_dados[DATA],"&lt;="&amp;SET_F)+SUMIFS(T_dados[VALOR],T_dados[CONTA],M16,T_dados[CATEGORIA],"Transferência",T_dados[SUBCATEGORIA],"Saída",T_dados[DATA],"&gt;="&amp;SET_I,T_dados[DATA],"&lt;="&amp;SET_F)</f>
        <v>0</v>
      </c>
      <c r="O26" s="25">
        <f>Table1215[[#This Row],[ENTRADA]]-Table1215[[#This Row],[SAÍDA]]</f>
        <v>0</v>
      </c>
      <c r="P26" s="26">
        <f>P25+Table1215[[#This Row],[SALDO]]</f>
        <v>0</v>
      </c>
      <c r="R26" s="24">
        <f>SUMIFS(T_dados[VALOR],T_dados[CONTA],R16,T_dados[CATEGORIA],"Renda",T_dados[CATEGORIA],"&lt;&gt;Transferência",T_dados[DATA],"&gt;="&amp;SET_I,T_dados[DATA],"&lt;="&amp;SET_F)+SUMIFS(T_dados[VALOR],T_dados[CONTA],R16,T_dados[CATEGORIA],"Transferência",T_dados[SUBCATEGORIA],"Entrada",T_dados[DATA],"&gt;="&amp;SET_I,T_dados[DATA],"&lt;="&amp;SET_F)</f>
        <v>0</v>
      </c>
      <c r="S26" s="24">
        <f>SUMIFS(T_dados[VALOR],T_dados[CONTA],R16,T_dados[CATEGORIA],"&lt;&gt;Renda",T_dados[CATEGORIA],"&lt;&gt;Transferência",T_dados[DATA],"&gt;="&amp;SET_I,T_dados[DATA],"&lt;="&amp;SET_F)+SUMIFS(T_dados[VALOR],T_dados[CONTA],R16,T_dados[CATEGORIA],"Transferência",T_dados[SUBCATEGORIA],"Saída",T_dados[DATA],"&gt;="&amp;SET_I,T_dados[DATA],"&lt;="&amp;SET_F)</f>
        <v>0</v>
      </c>
      <c r="T26" s="25">
        <f>Table1216[[#This Row],[ENTRADA]]-Table1216[[#This Row],[SAÍDA]]</f>
        <v>0</v>
      </c>
      <c r="U26" s="26">
        <f>U25+Table1216[[#This Row],[SALDO]]</f>
        <v>0</v>
      </c>
      <c r="W26" s="24">
        <f>SUMIFS(T_dados[VALOR],T_dados[CONTA],W16,T_dados[CATEGORIA],"Renda",T_dados[DATA],"&gt;="&amp;SET_I,T_dados[DATA],"&lt;="&amp;SET_F)+SUMIFS(T_dados[VALOR],T_dados[CONTA],W16,T_dados[CATEGORIA],"Transferência",T_dados[SUBCATEGORIA],"Entrada",T_dados[DATA],"&gt;="&amp;SET_I,T_dados[DATA],"&lt;="&amp;SET_F)</f>
        <v>0</v>
      </c>
      <c r="X26" s="24">
        <f>SUMIFS(T_dados[VALOR],T_dados[CONTA],W16,T_dados[CATEGORIA],"&lt;&gt;Renda",T_dados[CATEGORIA],"&lt;&gt;Transferência",T_dados[DATA],"&gt;="&amp;SET_I,T_dados[DATA],"&lt;="&amp;SET_F)+SUMIFS(T_dados[VALOR],T_dados[CONTA],X16,T_dados[CATEGORIA],"Transferência",T_dados[SUBCATEGORIA],"Saída",T_dados[DATA],"&gt;="&amp;SET_I,T_dados[DATA],"&lt;="&amp;SET_F)</f>
        <v>0</v>
      </c>
      <c r="Y26" s="25">
        <f>Table121612[[#This Row],[ENTRADA]]-Table121612[[#This Row],[SAÍDA]]</f>
        <v>0</v>
      </c>
      <c r="Z26" s="26">
        <f>Z25+Table121612[[#This Row],[SALDO]]</f>
        <v>0</v>
      </c>
    </row>
    <row r="27" spans="1:46" x14ac:dyDescent="0.25">
      <c r="A27" s="3" t="s">
        <v>135</v>
      </c>
      <c r="C27" s="24">
        <f>SUMIFS(T_dados[VALOR],T_dados[CONTA],C16,T_dados[CATEGORIA],"Renda",T_dados[CATEGORIA],"&lt;&gt;Transferência",T_dados[DATA],"&gt;="&amp;OUT_I,T_dados[DATA],"&lt;="&amp;OUT_F)+SUMIFS(T_dados[VALOR],T_dados[CONTA],C16,T_dados[CATEGORIA],"Transferência",T_dados[SUBCATEGORIA],"Entrada",T_dados[DATA],"&gt;="&amp;OUT_I,T_dados[DATA],"&lt;="&amp;OUT_F)</f>
        <v>0</v>
      </c>
      <c r="D27" s="24">
        <f>SUMIFS(T_dados[VALOR],T_dados[CONTA],C16,T_dados[CATEGORIA],"&lt;&gt;Renda",T_dados[CATEGORIA],"&lt;&gt;Transferência",T_dados[DATA],"&gt;="&amp;OUT_I,T_dados[DATA],"&lt;="&amp;OUT_F)+SUMIFS(T_dados[VALOR],T_dados[CONTA],C16,T_dados[CATEGORIA],"Transferência",T_dados[SUBCATEGORIA],"Saída",T_dados[DATA],"&gt;="&amp;OUT_I,T_dados[DATA],"&lt;="&amp;OUT_F)</f>
        <v>0</v>
      </c>
      <c r="E27" s="25">
        <f>Table12[[#This Row],[ENTRADA]]-Table12[[#This Row],[SAÍDA]]</f>
        <v>0</v>
      </c>
      <c r="F27" s="26">
        <f>F26+Table12[[#This Row],[SALDO]]</f>
        <v>0</v>
      </c>
      <c r="H27" s="24">
        <f>SUMIFS(T_dados[VALOR],T_dados[CONTA],H16,T_dados[CATEGORIA],"Renda",T_dados[CATEGORIA],"&lt;&gt;Transferência",T_dados[DATA],"&gt;="&amp;OUT_I,T_dados[DATA],"&lt;="&amp;OUT_F)+SUMIFS(T_dados[VALOR],T_dados[CONTA],H16,T_dados[CATEGORIA],"Transferência",T_dados[SUBCATEGORIA],"Entrada",T_dados[DATA],"&gt;="&amp;OUT_I,T_dados[DATA],"&lt;="&amp;OUT_F)</f>
        <v>0</v>
      </c>
      <c r="I27" s="24">
        <f>SUMIFS(T_dados[VALOR],T_dados[CONTA],H16,T_dados[CATEGORIA],"&lt;&gt;Renda",T_dados[CATEGORIA],"&lt;&gt;Transferência",T_dados[DATA],"&gt;="&amp;OUT_I,T_dados[DATA],"&lt;="&amp;OUT_F)+SUMIFS(T_dados[VALOR],T_dados[CONTA],H16,T_dados[CATEGORIA],"Transferência",T_dados[SUBCATEGORIA],"Saída",T_dados[DATA],"&gt;="&amp;OUT_I,T_dados[DATA],"&lt;="&amp;OUT_F)</f>
        <v>0</v>
      </c>
      <c r="J27" s="25">
        <f>Table1214[[#This Row],[ENTRADA]]-Table1214[[#This Row],[SAÍDA]]</f>
        <v>0</v>
      </c>
      <c r="K27" s="26">
        <f>K26+Table1214[[#This Row],[SALDO]]</f>
        <v>0</v>
      </c>
      <c r="M27" s="24">
        <f>SUMIFS(T_dados[VALOR],T_dados[CONTA],M16,T_dados[CATEGORIA],"Renda",T_dados[CATEGORIA],"&lt;&gt;Transferência",T_dados[DATA],"&gt;="&amp;OUT_I,T_dados[DATA],"&lt;="&amp;OUT_F)+SUMIFS(T_dados[VALOR],T_dados[CONTA],M16,T_dados[CATEGORIA],"Transferência",T_dados[SUBCATEGORIA],"Entrada",T_dados[DATA],"&gt;="&amp;OUT_I,T_dados[DATA],"&lt;="&amp;OUT_F)</f>
        <v>0</v>
      </c>
      <c r="N27" s="24">
        <f>SUMIFS(T_dados[VALOR],T_dados[CONTA],M16,T_dados[CATEGORIA],"&lt;&gt;Renda",T_dados[CATEGORIA],"&lt;&gt;Transferência",T_dados[DATA],"&gt;="&amp;OUT_I,T_dados[DATA],"&lt;="&amp;OUT_F)+SUMIFS(T_dados[VALOR],T_dados[CONTA],M16,T_dados[CATEGORIA],"Transferência",T_dados[SUBCATEGORIA],"Saída",T_dados[DATA],"&gt;="&amp;OUT_I,T_dados[DATA],"&lt;="&amp;OUT_F)</f>
        <v>0</v>
      </c>
      <c r="O27" s="25">
        <f>Table1215[[#This Row],[ENTRADA]]-Table1215[[#This Row],[SAÍDA]]</f>
        <v>0</v>
      </c>
      <c r="P27" s="26">
        <f>P26+Table1215[[#This Row],[SALDO]]</f>
        <v>0</v>
      </c>
      <c r="R27" s="24">
        <f>SUMIFS(T_dados[VALOR],T_dados[CONTA],R16,T_dados[CATEGORIA],"Renda",T_dados[CATEGORIA],"&lt;&gt;Transferência",T_dados[DATA],"&gt;="&amp;OUT_I,T_dados[DATA],"&lt;="&amp;OUT_F)+SUMIFS(T_dados[VALOR],T_dados[CONTA],R16,T_dados[CATEGORIA],"Transferência",T_dados[SUBCATEGORIA],"Entrada",T_dados[DATA],"&gt;="&amp;OUT_I,T_dados[DATA],"&lt;="&amp;OUT_F)</f>
        <v>0</v>
      </c>
      <c r="S27" s="24">
        <f>SUMIFS(T_dados[VALOR],T_dados[CONTA],R16,T_dados[CATEGORIA],"&lt;&gt;Renda",T_dados[CATEGORIA],"&lt;&gt;Transferência",T_dados[DATA],"&gt;="&amp;OUT_I,T_dados[DATA],"&lt;="&amp;OUT_F)+SUMIFS(T_dados[VALOR],T_dados[CONTA],R16,T_dados[CATEGORIA],"Transferência",T_dados[SUBCATEGORIA],"Saída",T_dados[DATA],"&gt;="&amp;OUT_I,T_dados[DATA],"&lt;="&amp;OUT_F)</f>
        <v>0</v>
      </c>
      <c r="T27" s="25">
        <f>Table1216[[#This Row],[ENTRADA]]-Table1216[[#This Row],[SAÍDA]]</f>
        <v>0</v>
      </c>
      <c r="U27" s="26">
        <f>U26+Table1216[[#This Row],[SALDO]]</f>
        <v>0</v>
      </c>
      <c r="W27" s="24">
        <f>SUMIFS(T_dados[VALOR],T_dados[CONTA],W16,T_dados[CATEGORIA],"Renda",T_dados[DATA],"&gt;="&amp;OUT_I,T_dados[DATA],"&lt;="&amp;OUT_F)+SUMIFS(T_dados[VALOR],T_dados[CONTA],W16,T_dados[CATEGORIA],"Transferência",T_dados[SUBCATEGORIA],"Entrada",T_dados[DATA],"&gt;="&amp;OUT_I,T_dados[DATA],"&lt;="&amp;OUT_F)</f>
        <v>0</v>
      </c>
      <c r="X27" s="24">
        <f>SUMIFS(T_dados[VALOR],T_dados[CONTA],W16,T_dados[CATEGORIA],"&lt;&gt;Renda",T_dados[CATEGORIA],"&lt;&gt;Transferência",T_dados[DATA],"&gt;="&amp;OUT_I,T_dados[DATA],"&lt;="&amp;OUT_F)+SUMIFS(T_dados[VALOR],T_dados[CONTA],X16,T_dados[CATEGORIA],"Transferência",T_dados[SUBCATEGORIA],"Saída",T_dados[DATA],"&gt;="&amp;OUT_I,T_dados[DATA],"&lt;="&amp;OUT_F)</f>
        <v>0</v>
      </c>
      <c r="Y27" s="25">
        <f>Table121612[[#This Row],[ENTRADA]]-Table121612[[#This Row],[SAÍDA]]</f>
        <v>0</v>
      </c>
      <c r="Z27" s="26">
        <f>Z26+Table121612[[#This Row],[SALDO]]</f>
        <v>0</v>
      </c>
    </row>
    <row r="28" spans="1:46" x14ac:dyDescent="0.25">
      <c r="A28" s="3" t="s">
        <v>136</v>
      </c>
      <c r="C28" s="24">
        <f>SUMIFS(T_dados[VALOR],T_dados[CONTA],C16,T_dados[CATEGORIA],"Renda",T_dados[CATEGORIA],"&lt;&gt;Transferência",T_dados[DATA],"&gt;="&amp;NOV_I,T_dados[DATA],"&lt;="&amp;NOV_F)+SUMIFS(T_dados[VALOR],T_dados[CONTA],C16,T_dados[CATEGORIA],"Transferência",T_dados[SUBCATEGORIA],"Entrada",T_dados[DATA],"&gt;="&amp;NOV_I,T_dados[DATA],"&lt;="&amp;NOV_F)</f>
        <v>0</v>
      </c>
      <c r="D28" s="24">
        <f>SUMIFS(T_dados[VALOR],T_dados[CONTA],C16,T_dados[CATEGORIA],"&lt;&gt;Renda",T_dados[CATEGORIA],"&lt;&gt;Transferência",T_dados[DATA],"&gt;="&amp;NOV_I,T_dados[DATA],"&lt;="&amp;NOV_F)+SUMIFS(T_dados[VALOR],T_dados[CONTA],C16,T_dados[CATEGORIA],"Transferência",T_dados[SUBCATEGORIA],"Saída",T_dados[DATA],"&gt;="&amp;NOV_I,T_dados[DATA],"&lt;="&amp;NOV_F)</f>
        <v>0</v>
      </c>
      <c r="E28" s="25">
        <f>Table12[[#This Row],[ENTRADA]]-Table12[[#This Row],[SAÍDA]]</f>
        <v>0</v>
      </c>
      <c r="F28" s="26">
        <f>F27+Table12[[#This Row],[SALDO]]</f>
        <v>0</v>
      </c>
      <c r="H28" s="24">
        <f>SUMIFS(T_dados[VALOR],T_dados[CONTA],H16,T_dados[CATEGORIA],"Renda",T_dados[CATEGORIA],"&lt;&gt;Transferência",T_dados[DATA],"&gt;="&amp;NOV_I,T_dados[DATA],"&lt;="&amp;NOV_F)+SUMIFS(T_dados[VALOR],T_dados[CONTA],H16,T_dados[CATEGORIA],"Transferência",T_dados[SUBCATEGORIA],"Entrada",T_dados[DATA],"&gt;="&amp;NOV_I,T_dados[DATA],"&lt;="&amp;NOV_F)</f>
        <v>0</v>
      </c>
      <c r="I28" s="24">
        <f>SUMIFS(T_dados[VALOR],T_dados[CONTA],H16,T_dados[CATEGORIA],"&lt;&gt;Renda",T_dados[CATEGORIA],"&lt;&gt;Transferência",T_dados[DATA],"&gt;="&amp;NOV_I,T_dados[DATA],"&lt;="&amp;NOV_F)+SUMIFS(T_dados[VALOR],T_dados[CONTA],H16,T_dados[CATEGORIA],"Transferência",T_dados[SUBCATEGORIA],"Saída",T_dados[DATA],"&gt;="&amp;NOV_I,T_dados[DATA],"&lt;="&amp;NOV_F)</f>
        <v>0</v>
      </c>
      <c r="J28" s="25">
        <f>Table1214[[#This Row],[ENTRADA]]-Table1214[[#This Row],[SAÍDA]]</f>
        <v>0</v>
      </c>
      <c r="K28" s="26">
        <f>K27+Table1214[[#This Row],[SALDO]]</f>
        <v>0</v>
      </c>
      <c r="M28" s="24">
        <f>SUMIFS(T_dados[VALOR],T_dados[CONTA],M16,T_dados[CATEGORIA],"Renda",T_dados[CATEGORIA],"&lt;&gt;Transferência",T_dados[DATA],"&gt;="&amp;NOV_I,T_dados[DATA],"&lt;="&amp;NOV_F)+SUMIFS(T_dados[VALOR],T_dados[CONTA],M16,T_dados[CATEGORIA],"Transferência",T_dados[SUBCATEGORIA],"Entrada",T_dados[DATA],"&gt;="&amp;NOV_I,T_dados[DATA],"&lt;="&amp;NOV_F)</f>
        <v>0</v>
      </c>
      <c r="N28" s="24">
        <f>SUMIFS(T_dados[VALOR],T_dados[CONTA],M16,T_dados[CATEGORIA],"&lt;&gt;Renda",T_dados[CATEGORIA],"&lt;&gt;Transferência",T_dados[DATA],"&gt;="&amp;NOV_I,T_dados[DATA],"&lt;="&amp;NOV_F)+SUMIFS(T_dados[VALOR],T_dados[CONTA],M16,T_dados[CATEGORIA],"Transferência",T_dados[SUBCATEGORIA],"Saída",T_dados[DATA],"&gt;="&amp;NOV_I,T_dados[DATA],"&lt;="&amp;NOV_F)</f>
        <v>0</v>
      </c>
      <c r="O28" s="25">
        <f>Table1215[[#This Row],[ENTRADA]]-Table1215[[#This Row],[SAÍDA]]</f>
        <v>0</v>
      </c>
      <c r="P28" s="26">
        <f>P27+Table1215[[#This Row],[SALDO]]</f>
        <v>0</v>
      </c>
      <c r="R28" s="24">
        <f>SUMIFS(T_dados[VALOR],T_dados[CONTA],R16,T_dados[CATEGORIA],"Renda",T_dados[CATEGORIA],"&lt;&gt;Transferência",T_dados[DATA],"&gt;="&amp;NOV_I,T_dados[DATA],"&lt;="&amp;NOV_F)+SUMIFS(T_dados[VALOR],T_dados[CONTA],R16,T_dados[CATEGORIA],"Transferência",T_dados[SUBCATEGORIA],"Entrada",T_dados[DATA],"&gt;="&amp;NOV_I,T_dados[DATA],"&lt;="&amp;NOV_F)</f>
        <v>0</v>
      </c>
      <c r="S28" s="24">
        <f>SUMIFS(T_dados[VALOR],T_dados[CONTA],R16,T_dados[CATEGORIA],"&lt;&gt;Renda",T_dados[CATEGORIA],"&lt;&gt;Transferência",T_dados[DATA],"&gt;="&amp;NOV_I,T_dados[DATA],"&lt;="&amp;NOV_F)+SUMIFS(T_dados[VALOR],T_dados[CONTA],R16,T_dados[CATEGORIA],"Transferência",T_dados[SUBCATEGORIA],"Saída",T_dados[DATA],"&gt;="&amp;NOV_I,T_dados[DATA],"&lt;="&amp;NOV_F)</f>
        <v>0</v>
      </c>
      <c r="T28" s="25">
        <f>Table1216[[#This Row],[ENTRADA]]-Table1216[[#This Row],[SAÍDA]]</f>
        <v>0</v>
      </c>
      <c r="U28" s="26">
        <f>U27+Table1216[[#This Row],[SALDO]]</f>
        <v>0</v>
      </c>
      <c r="W28" s="24">
        <f>SUMIFS(T_dados[VALOR],T_dados[CONTA],W16,T_dados[CATEGORIA],"Renda",T_dados[DATA],"&gt;="&amp;NOV_I,T_dados[DATA],"&lt;="&amp;NOV_F)+SUMIFS(T_dados[VALOR],T_dados[CONTA],W16,T_dados[CATEGORIA],"Transferência",T_dados[SUBCATEGORIA],"Entrada",T_dados[DATA],"&gt;="&amp;NOV_I,T_dados[DATA],"&lt;="&amp;NOV_F)</f>
        <v>0</v>
      </c>
      <c r="X28" s="24">
        <f>SUMIFS(T_dados[VALOR],T_dados[CONTA],W16,T_dados[CATEGORIA],"&lt;&gt;Renda",T_dados[CATEGORIA],"&lt;&gt;Transferência",T_dados[DATA],"&gt;="&amp;NOV_I,T_dados[DATA],"&lt;="&amp;NOV_F)+SUMIFS(T_dados[VALOR],T_dados[CONTA],X16,T_dados[CATEGORIA],"Transferência",T_dados[SUBCATEGORIA],"Saída",T_dados[DATA],"&gt;="&amp;NOV_I,T_dados[DATA],"&lt;="&amp;NOV_F)</f>
        <v>0</v>
      </c>
      <c r="Y28" s="25">
        <f>Table121612[[#This Row],[ENTRADA]]-Table121612[[#This Row],[SAÍDA]]</f>
        <v>0</v>
      </c>
      <c r="Z28" s="26">
        <f>Z27+Table121612[[#This Row],[SALDO]]</f>
        <v>0</v>
      </c>
    </row>
    <row r="29" spans="1:46" x14ac:dyDescent="0.25">
      <c r="A29" s="3" t="s">
        <v>137</v>
      </c>
      <c r="C29" s="24">
        <f>SUMIFS(T_dados[VALOR],T_dados[CONTA],C16,T_dados[CATEGORIA],"Renda",T_dados[CATEGORIA],"&lt;&gt;Transferência",T_dados[DATA],"&gt;="&amp;DEZ_I,T_dados[DATA],"&lt;="&amp;DEZ_F)+SUMIFS(T_dados[VALOR],T_dados[CONTA],C16,T_dados[CATEGORIA],"Transferência",T_dados[SUBCATEGORIA],"Entrada",T_dados[DATA],"&gt;="&amp;DEZ_I,T_dados[DATA],"&lt;="&amp;DEZ_F)</f>
        <v>0</v>
      </c>
      <c r="D29" s="24">
        <f>SUMIFS(T_dados[VALOR],T_dados[CONTA],C16,T_dados[CATEGORIA],"&lt;&gt;Renda",T_dados[CATEGORIA],"&lt;&gt;Transferência",T_dados[DATA],"&gt;="&amp;DEZ_I,T_dados[DATA],"&lt;="&amp;DEZ_F)+SUMIFS(T_dados[VALOR],T_dados[CONTA],C16,T_dados[CATEGORIA],"Transferência",T_dados[SUBCATEGORIA],"Saída",T_dados[DATA],"&gt;="&amp;DEZ_I,T_dados[DATA],"&lt;="&amp;DEZ_F)</f>
        <v>0</v>
      </c>
      <c r="E29" s="25">
        <f>Table12[[#This Row],[ENTRADA]]-Table12[[#This Row],[SAÍDA]]</f>
        <v>0</v>
      </c>
      <c r="F29" s="26">
        <f>F28+Table12[[#This Row],[SALDO]]</f>
        <v>0</v>
      </c>
      <c r="H29" s="24">
        <f>SUMIFS(T_dados[VALOR],T_dados[CONTA],H16,T_dados[CATEGORIA],"Renda",T_dados[CATEGORIA],"&lt;&gt;Transferência",T_dados[DATA],"&gt;="&amp;DEZ_I,T_dados[DATA],"&lt;="&amp;DEZ_F)+SUMIFS(T_dados[VALOR],T_dados[CONTA],H16,T_dados[CATEGORIA],"Transferência",T_dados[SUBCATEGORIA],"Entrada",T_dados[DATA],"&gt;="&amp;DEZ_I,T_dados[DATA],"&lt;="&amp;DEZ_F)</f>
        <v>0</v>
      </c>
      <c r="I29" s="24">
        <f>SUMIFS(T_dados[VALOR],T_dados[CONTA],H16,T_dados[CATEGORIA],"&lt;&gt;Renda",T_dados[CATEGORIA],"&lt;&gt;Transferência",T_dados[DATA],"&gt;="&amp;DEZ_I,T_dados[DATA],"&lt;="&amp;DEZ_F)+SUMIFS(T_dados[VALOR],T_dados[CONTA],H16,T_dados[CATEGORIA],"Transferência",T_dados[SUBCATEGORIA],"Saída",T_dados[DATA],"&gt;="&amp;DEZ_I,T_dados[DATA],"&lt;="&amp;DEZ_F)</f>
        <v>0</v>
      </c>
      <c r="J29" s="25">
        <f>Table1214[[#This Row],[ENTRADA]]-Table1214[[#This Row],[SAÍDA]]</f>
        <v>0</v>
      </c>
      <c r="K29" s="26">
        <f>K28+Table1214[[#This Row],[SALDO]]</f>
        <v>0</v>
      </c>
      <c r="M29" s="24">
        <f>SUMIFS(T_dados[VALOR],T_dados[CONTA],M16,T_dados[CATEGORIA],"Renda",T_dados[CATEGORIA],"&lt;&gt;Transferência",T_dados[DATA],"&gt;="&amp;DEZ_I,T_dados[DATA],"&lt;="&amp;DEZ_F)+SUMIFS(T_dados[VALOR],T_dados[CONTA],M16,T_dados[CATEGORIA],"Transferência",T_dados[SUBCATEGORIA],"Entrada",T_dados[DATA],"&gt;="&amp;DEZ_I,T_dados[DATA],"&lt;="&amp;DEZ_F)</f>
        <v>0</v>
      </c>
      <c r="N29" s="24">
        <f>SUMIFS(T_dados[VALOR],T_dados[CONTA],M16,T_dados[CATEGORIA],"&lt;&gt;Renda",T_dados[CATEGORIA],"&lt;&gt;Transferência",T_dados[DATA],"&gt;="&amp;DEZ_I,T_dados[DATA],"&lt;="&amp;DEZ_F)+SUMIFS(T_dados[VALOR],T_dados[CONTA],M16,T_dados[CATEGORIA],"Transferência",T_dados[SUBCATEGORIA],"Saída",T_dados[DATA],"&gt;="&amp;DEZ_I,T_dados[DATA],"&lt;="&amp;DEZ_F)</f>
        <v>0</v>
      </c>
      <c r="O29" s="25">
        <f>Table1215[[#This Row],[ENTRADA]]-Table1215[[#This Row],[SAÍDA]]</f>
        <v>0</v>
      </c>
      <c r="P29" s="26">
        <f>P28+Table1215[[#This Row],[SALDO]]</f>
        <v>0</v>
      </c>
      <c r="R29" s="24">
        <f>SUMIFS(T_dados[VALOR],T_dados[CONTA],R16,T_dados[CATEGORIA],"Renda",T_dados[CATEGORIA],"&lt;&gt;Transferência",T_dados[DATA],"&gt;="&amp;DEZ_I,T_dados[DATA],"&lt;="&amp;DEZ_F)+SUMIFS(T_dados[VALOR],T_dados[CONTA],R16,T_dados[CATEGORIA],"Transferência",T_dados[SUBCATEGORIA],"Entrada",T_dados[DATA],"&gt;="&amp;DEZ_I,T_dados[DATA],"&lt;="&amp;DEZ_F)</f>
        <v>0</v>
      </c>
      <c r="S29" s="24">
        <f>SUMIFS(T_dados[VALOR],T_dados[CONTA],R16,T_dados[CATEGORIA],"&lt;&gt;Renda",T_dados[CATEGORIA],"&lt;&gt;Transferência",T_dados[DATA],"&gt;="&amp;DEZ_I,T_dados[DATA],"&lt;="&amp;DEZ_F)+SUMIFS(T_dados[VALOR],T_dados[CONTA],R16,T_dados[CATEGORIA],"Transferência",T_dados[SUBCATEGORIA],"Saída",T_dados[DATA],"&gt;="&amp;DEZ_I,T_dados[DATA],"&lt;="&amp;DEZ_F)</f>
        <v>0</v>
      </c>
      <c r="T29" s="25">
        <f>Table1216[[#This Row],[ENTRADA]]-Table1216[[#This Row],[SAÍDA]]</f>
        <v>0</v>
      </c>
      <c r="U29" s="26">
        <f>U28+Table1216[[#This Row],[SALDO]]</f>
        <v>0</v>
      </c>
      <c r="W29" s="24">
        <f>SUMIFS(T_dados[VALOR],T_dados[CONTA],W16,T_dados[CATEGORIA],"Renda",T_dados[DATA],"&gt;="&amp;DEZ_I,T_dados[DATA],"&lt;="&amp;DEZ_F)+SUMIFS(T_dados[VALOR],T_dados[CONTA],W16,T_dados[CATEGORIA],"Transferência",T_dados[SUBCATEGORIA],"Entrada",T_dados[DATA],"&gt;="&amp;DEZ_I,T_dados[DATA],"&lt;="&amp;DEZ_F)</f>
        <v>0</v>
      </c>
      <c r="X29" s="24">
        <f>SUMIFS(T_dados[VALOR],T_dados[CONTA],W16,T_dados[CATEGORIA],"&lt;&gt;Renda",T_dados[CATEGORIA],"&lt;&gt;Transferência",T_dados[DATA],"&gt;="&amp;DEZ_I,T_dados[DATA],"&lt;="&amp;DEZ_F)+SUMIFS(T_dados[VALOR],T_dados[CONTA],X16,T_dados[CATEGORIA],"Transferência",T_dados[SUBCATEGORIA],"Saída",T_dados[DATA],"&gt;="&amp;DEZ_I,T_dados[DATA],"&lt;="&amp;DEZ_F)</f>
        <v>0</v>
      </c>
      <c r="Y29" s="25">
        <f>Table121612[[#This Row],[ENTRADA]]-Table121612[[#This Row],[SAÍDA]]</f>
        <v>0</v>
      </c>
      <c r="Z29" s="26">
        <f>Z28+Table121612[[#This Row],[SALDO]]</f>
        <v>0</v>
      </c>
    </row>
    <row r="30" spans="1:46" x14ac:dyDescent="0.25">
      <c r="A30" s="3" t="s">
        <v>126</v>
      </c>
      <c r="C30" s="27">
        <f>SUM(C18:C29)</f>
        <v>0</v>
      </c>
      <c r="D30" s="28">
        <f>SUM(D18:D29)</f>
        <v>0</v>
      </c>
      <c r="E30" s="28">
        <f>Table12[[#This Row],[ENTRADA]]-Table12[[#This Row],[SAÍDA]]</f>
        <v>0</v>
      </c>
      <c r="F30" s="28">
        <f>F29</f>
        <v>0</v>
      </c>
      <c r="H30" s="27">
        <f>SUM(H18:H29)</f>
        <v>0</v>
      </c>
      <c r="I30" s="28">
        <f>SUM(I18:I29)</f>
        <v>0</v>
      </c>
      <c r="J30" s="28">
        <f>Table1214[[#This Row],[ENTRADA]]-Table1214[[#This Row],[SAÍDA]]</f>
        <v>0</v>
      </c>
      <c r="K30" s="28">
        <f>K29</f>
        <v>0</v>
      </c>
      <c r="M30" s="27">
        <f>SUM(M18:M29)</f>
        <v>0</v>
      </c>
      <c r="N30" s="28">
        <f>SUM(N18:N29)</f>
        <v>0</v>
      </c>
      <c r="O30" s="28">
        <f>Table1215[[#This Row],[ENTRADA]]-Table1215[[#This Row],[SAÍDA]]</f>
        <v>0</v>
      </c>
      <c r="P30" s="28">
        <f>P29</f>
        <v>0</v>
      </c>
      <c r="R30" s="27">
        <f>SUM(R18:R29)</f>
        <v>0</v>
      </c>
      <c r="S30" s="28">
        <f>SUM(S18:S29)</f>
        <v>0</v>
      </c>
      <c r="T30" s="28">
        <f>Table1216[[#This Row],[ENTRADA]]-Table1216[[#This Row],[SAÍDA]]</f>
        <v>0</v>
      </c>
      <c r="U30" s="28">
        <f>U29</f>
        <v>0</v>
      </c>
      <c r="W30" s="27">
        <f>SUM(W18:W29)</f>
        <v>0</v>
      </c>
      <c r="X30" s="28">
        <f>SUM(X18:X29)</f>
        <v>0</v>
      </c>
      <c r="Y30" s="28">
        <f>Table121612[[#This Row],[ENTRADA]]-Table121612[[#This Row],[SAÍDA]]</f>
        <v>0</v>
      </c>
      <c r="Z30" s="28">
        <f>Z29</f>
        <v>0</v>
      </c>
    </row>
    <row r="32" spans="1:46" x14ac:dyDescent="0.25">
      <c r="C32" s="179" t="str">
        <f>Lista!F6</f>
        <v>Cartão de Crédito 1</v>
      </c>
      <c r="D32" s="179"/>
      <c r="E32" s="179"/>
      <c r="F32" s="179"/>
      <c r="H32" s="179" t="str">
        <f>Lista!F7</f>
        <v>Cartão de Crédito 2</v>
      </c>
      <c r="I32" s="179"/>
      <c r="J32" s="179"/>
      <c r="K32" s="179"/>
      <c r="M32" s="179" t="str">
        <f>Lista!F8</f>
        <v>Cartão de Crédito 3</v>
      </c>
      <c r="N32" s="179"/>
      <c r="O32" s="179"/>
      <c r="P32" s="179"/>
      <c r="R32" s="179"/>
      <c r="S32" s="179"/>
      <c r="T32" s="179"/>
      <c r="U32" s="179"/>
    </row>
    <row r="33" spans="1:46" x14ac:dyDescent="0.25">
      <c r="A33" s="3" t="s">
        <v>110</v>
      </c>
      <c r="C33" s="7" t="s">
        <v>139</v>
      </c>
      <c r="D33" s="7" t="s">
        <v>140</v>
      </c>
      <c r="E33" s="7" t="s">
        <v>103</v>
      </c>
      <c r="F33" s="7" t="s">
        <v>138</v>
      </c>
      <c r="G33" s="4"/>
      <c r="H33" s="7" t="s">
        <v>139</v>
      </c>
      <c r="I33" s="7" t="s">
        <v>140</v>
      </c>
      <c r="J33" s="7" t="s">
        <v>103</v>
      </c>
      <c r="K33" s="7" t="s">
        <v>138</v>
      </c>
      <c r="L33" s="4"/>
      <c r="M33" s="7" t="s">
        <v>139</v>
      </c>
      <c r="N33" s="7" t="s">
        <v>140</v>
      </c>
      <c r="O33" s="7" t="s">
        <v>103</v>
      </c>
      <c r="P33" s="7" t="s">
        <v>138</v>
      </c>
      <c r="R33" s="48" t="s">
        <v>139</v>
      </c>
      <c r="S33" s="49" t="s">
        <v>140</v>
      </c>
      <c r="T33" s="49" t="s">
        <v>103</v>
      </c>
      <c r="U33" s="50" t="s">
        <v>138</v>
      </c>
    </row>
    <row r="34" spans="1:46" x14ac:dyDescent="0.25">
      <c r="A34" s="3" t="s">
        <v>125</v>
      </c>
      <c r="C34" s="24">
        <f>SUMIFS(T_dados[VALOR],T_dados[CONTA],C32,T_dados[CATEGORIA],"Renda",T_dados[CATEGORIA],"&lt;&gt;Transferência",T_dados[DATA],"&gt;="&amp;JAN_I,T_dados[DATA],"&lt;="&amp;JAN_F)+SUMIFS(T_dados[VALOR],T_dados[CONTA],C32,T_dados[CATEGORIA],"Transferência",T_dados[SUBCATEGORIA],"Entrada",T_dados[DATA],"&gt;="&amp;JAN_I,T_dados[DATA],"&lt;="&amp;JAN_F)</f>
        <v>0</v>
      </c>
      <c r="D34" s="24">
        <f>SUMIFS(T_dados[VALOR],T_dados[CONTA],C32,T_dados[CATEGORIA],"&lt;&gt;Renda",T_dados[CATEGORIA],"&lt;&gt;Transferência",T_dados[DATA],"&gt;="&amp;JAN_I,T_dados[DATA],"&lt;="&amp;JAN_F)+SUMIFS(T_dados[VALOR],T_dados[CONTA],C32,T_dados[CATEGORIA],"Transferência",T_dados[SUBCATEGORIA],"Saída",T_dados[DATA],"&gt;="&amp;JAN_I,T_dados[DATA],"&lt;="&amp;JAN_F)</f>
        <v>0</v>
      </c>
      <c r="E34" s="29">
        <f>Table19[[#This Row],[ENTRADA]]-Table19[[#This Row],[SAÍDA]]</f>
        <v>0</v>
      </c>
      <c r="F34" s="29">
        <f>Table19[[#This Row],[SALDO]]</f>
        <v>0</v>
      </c>
      <c r="G34" s="4"/>
      <c r="H34" s="24">
        <f>SUMIFS(T_dados[VALOR],T_dados[CONTA],H32,T_dados[CATEGORIA],"Renda",T_dados[CATEGORIA],"&lt;&gt;Transferência",T_dados[DATA],"&gt;="&amp;JAN_I,T_dados[DATA],"&lt;="&amp;JAN_F)+SUMIFS(T_dados[VALOR],T_dados[CONTA],H32,T_dados[CATEGORIA],"Transferência",T_dados[SUBCATEGORIA],"Entrada",T_dados[DATA],"&gt;="&amp;JAN_I,T_dados[DATA],"&lt;="&amp;JAN_F)</f>
        <v>0</v>
      </c>
      <c r="I34" s="24">
        <f>SUMIFS(T_dados[VALOR],T_dados[CONTA],H32,T_dados[CATEGORIA],"&lt;&gt;Renda",T_dados[CATEGORIA],"&lt;&gt;Transferência",T_dados[DATA],"&gt;="&amp;JAN_I,T_dados[DATA],"&lt;="&amp;JAN_F)+SUMIFS(T_dados[VALOR],T_dados[CONTA],H32,T_dados[CATEGORIA],"Transferência",T_dados[SUBCATEGORIA],"Saída",T_dados[DATA],"&gt;="&amp;JAN_I,T_dados[DATA],"&lt;="&amp;JAN_F)</f>
        <v>0</v>
      </c>
      <c r="J34" s="29">
        <f>Table20[[#This Row],[ENTRADA]]-Table20[[#This Row],[SAÍDA]]</f>
        <v>0</v>
      </c>
      <c r="K34" s="29">
        <f>Table20[[#This Row],[SALDO]]</f>
        <v>0</v>
      </c>
      <c r="L34" s="4"/>
      <c r="M34" s="24">
        <f>SUMIFS(T_dados[VALOR],T_dados[CONTA],M32,T_dados[CATEGORIA],"Renda",T_dados[CATEGORIA],"&lt;&gt;Transferência",T_dados[DATA],"&gt;="&amp;JAN_I,T_dados[DATA],"&lt;="&amp;JAN_F)+SUMIFS(T_dados[VALOR],T_dados[CONTA],M32,T_dados[CATEGORIA],"Transferência",T_dados[SUBCATEGORIA],"Entrada",T_dados[DATA],"&gt;="&amp;JAN_I,T_dados[DATA],"&lt;="&amp;JAN_F)</f>
        <v>0</v>
      </c>
      <c r="N34" s="24">
        <f>SUMIFS(T_dados[VALOR],T_dados[CONTA],M32,T_dados[CATEGORIA],"&lt;&gt;Renda",T_dados[CATEGORIA],"&lt;&gt;Transferência",T_dados[DATA],"&gt;="&amp;JAN_I,T_dados[DATA],"&lt;="&amp;JAN_F)+SUMIFS(T_dados[VALOR],T_dados[CONTA],M32,T_dados[CATEGORIA],"Transferência",T_dados[SUBCATEGORIA],"Saída",T_dados[DATA],"&gt;="&amp;JAN_I,T_dados[DATA],"&lt;="&amp;JAN_F)</f>
        <v>0</v>
      </c>
      <c r="O34" s="29">
        <f>Table21[[#This Row],[ENTRADA]]-Table21[[#This Row],[SAÍDA]]</f>
        <v>0</v>
      </c>
      <c r="P34" s="29">
        <f>Table21[[#This Row],[SALDO]]</f>
        <v>0</v>
      </c>
      <c r="R34" s="24">
        <f>SUMIFS(T_dados[VALOR],T_dados[CONTA],R32,T_dados[CATEGORIA],"Renda",T_dados[CATEGORIA],"&lt;&gt;Transferência",T_dados[DATA],"&gt;="&amp;JAN_I,T_dados[DATA],"&lt;="&amp;JAN_F)+SUMIFS(T_dados[VALOR],T_dados[CONTA],R32,T_dados[CATEGORIA],"Transferência",T_dados[SUBCATEGORIA],"Entrada",T_dados[DATA],"&gt;="&amp;JAN_I,T_dados[DATA],"&lt;="&amp;JAN_F)</f>
        <v>0</v>
      </c>
      <c r="S34" s="24">
        <f>SUMIFS(T_dados[VALOR],T_dados[CONTA],R32,T_dados[CATEGORIA],"&lt;&gt;Renda",T_dados[CATEGORIA],"&lt;&gt;Transferência",T_dados[DATA],"&gt;="&amp;JAN_I,T_dados[DATA],"&lt;="&amp;JAN_F)+SUMIFS(T_dados[VALOR],T_dados[CONTA],R32,T_dados[CATEGORIA],"Transferência",T_dados[SUBCATEGORIA],"Saída",T_dados[DATA],"&gt;="&amp;JAN_I,T_dados[DATA],"&lt;="&amp;JAN_F)</f>
        <v>0</v>
      </c>
      <c r="T34" s="29">
        <f>Table2110[[#This Row],[ENTRADA]]-Table2110[[#This Row],[SAÍDA]]</f>
        <v>0</v>
      </c>
      <c r="U34" s="29">
        <f>Table2110[[#This Row],[SALDO]]</f>
        <v>0</v>
      </c>
      <c r="AT34" s="2"/>
    </row>
    <row r="35" spans="1:46" x14ac:dyDescent="0.25">
      <c r="A35" s="3" t="s">
        <v>127</v>
      </c>
      <c r="C35" s="24">
        <f>SUMIFS(T_dados[VALOR],T_dados[CONTA],C32,T_dados[CATEGORIA],"Renda",T_dados[CATEGORIA],"&lt;&gt;Transferência",T_dados[DATA],"&gt;="&amp;FEV_I,T_dados[DATA],"&lt;="&amp;FEV_F)+SUMIFS(T_dados[VALOR],T_dados[CONTA],C32,T_dados[CATEGORIA],"Transferência",T_dados[SUBCATEGORIA],"Entrada",T_dados[DATA],"&gt;="&amp;FEV_I,T_dados[DATA],"&lt;="&amp;FEV_F)</f>
        <v>0</v>
      </c>
      <c r="D35" s="24">
        <f>SUMIFS(T_dados[VALOR],T_dados[CONTA],C32,T_dados[CATEGORIA],"&lt;&gt;Renda",T_dados[CATEGORIA],"&lt;&gt;Transferência",T_dados[DATA],"&gt;="&amp;FEV_I,T_dados[DATA],"&lt;="&amp;FEV_F)+SUMIFS(T_dados[VALOR],T_dados[CONTA],C32,T_dados[CATEGORIA],"Transferência",T_dados[SUBCATEGORIA],"Saída",T_dados[DATA],"&gt;="&amp;FEV_I,T_dados[DATA],"&lt;="&amp;FEV_F)</f>
        <v>0</v>
      </c>
      <c r="E35" s="29">
        <f>Table19[[#This Row],[ENTRADA]]-Table19[[#This Row],[SAÍDA]]</f>
        <v>0</v>
      </c>
      <c r="F35" s="29">
        <f>F34+Table19[[#This Row],[SALDO]]</f>
        <v>0</v>
      </c>
      <c r="G35" s="4"/>
      <c r="H35" s="24">
        <f>SUMIFS(T_dados[VALOR],T_dados[CONTA],H32,T_dados[CATEGORIA],"Renda",T_dados[CATEGORIA],"&lt;&gt;Transferência",T_dados[DATA],"&gt;="&amp;FEV_I,T_dados[DATA],"&lt;="&amp;FEV_F)+SUMIFS(T_dados[VALOR],T_dados[CONTA],H32,T_dados[CATEGORIA],"Transferência",T_dados[SUBCATEGORIA],"Entrada",T_dados[DATA],"&gt;="&amp;FEV_I,T_dados[DATA],"&lt;="&amp;FEV_F)</f>
        <v>0</v>
      </c>
      <c r="I35" s="24">
        <f>SUMIFS(T_dados[VALOR],T_dados[CONTA],H32,T_dados[CATEGORIA],"&lt;&gt;Renda",T_dados[CATEGORIA],"&lt;&gt;Transferência",T_dados[DATA],"&gt;="&amp;FEV_I,T_dados[DATA],"&lt;="&amp;FEV_F)+SUMIFS(T_dados[VALOR],T_dados[CONTA],H32,T_dados[CATEGORIA],"Transferência",T_dados[SUBCATEGORIA],"Saída",T_dados[DATA],"&gt;="&amp;FEV_I,T_dados[DATA],"&lt;="&amp;FEV_F)</f>
        <v>0</v>
      </c>
      <c r="J35" s="29">
        <f>Table20[[#This Row],[ENTRADA]]-Table20[[#This Row],[SAÍDA]]</f>
        <v>0</v>
      </c>
      <c r="K35" s="29">
        <f>K34+Table20[[#This Row],[SALDO]]</f>
        <v>0</v>
      </c>
      <c r="L35" s="4"/>
      <c r="M35" s="24">
        <f>SUMIFS(T_dados[VALOR],T_dados[CONTA],M32,T_dados[CATEGORIA],"Renda",T_dados[CATEGORIA],"&lt;&gt;Transferência",T_dados[DATA],"&gt;="&amp;FEV_I,T_dados[DATA],"&lt;="&amp;FEV_F)+SUMIFS(T_dados[VALOR],T_dados[CONTA],M32,T_dados[CATEGORIA],"Transferência",T_dados[SUBCATEGORIA],"Entrada",T_dados[DATA],"&gt;="&amp;FEV_I,T_dados[DATA],"&lt;="&amp;FEV_F)</f>
        <v>0</v>
      </c>
      <c r="N35" s="24">
        <f>SUMIFS(T_dados[VALOR],T_dados[CONTA],M32,T_dados[CATEGORIA],"&lt;&gt;Renda",T_dados[CATEGORIA],"&lt;&gt;Transferência",T_dados[DATA],"&gt;="&amp;FEV_I,T_dados[DATA],"&lt;="&amp;FEV_F)+SUMIFS(T_dados[VALOR],T_dados[CONTA],M32,T_dados[CATEGORIA],"Transferência",T_dados[SUBCATEGORIA],"Saída",T_dados[DATA],"&gt;="&amp;FEV_I,T_dados[DATA],"&lt;="&amp;FEV_F)</f>
        <v>0</v>
      </c>
      <c r="O35" s="29">
        <f>Table21[[#This Row],[ENTRADA]]-Table21[[#This Row],[SAÍDA]]</f>
        <v>0</v>
      </c>
      <c r="P35" s="29">
        <f>Table21[[#This Row],[SALDO]]+P34</f>
        <v>0</v>
      </c>
      <c r="R35" s="24">
        <f>SUMIFS(T_dados[VALOR],T_dados[CONTA],R32,T_dados[CATEGORIA],"Renda",T_dados[CATEGORIA],"&lt;&gt;Transferência",T_dados[DATA],"&gt;="&amp;FEV_I,T_dados[DATA],"&lt;="&amp;FEV_F)+SUMIFS(T_dados[VALOR],T_dados[CONTA],R32,T_dados[CATEGORIA],"Transferência",T_dados[SUBCATEGORIA],"Entrada",T_dados[DATA],"&gt;="&amp;FEV_I,T_dados[DATA],"&lt;="&amp;FEV_F)</f>
        <v>0</v>
      </c>
      <c r="S35" s="24">
        <f>SUMIFS(T_dados[VALOR],T_dados[CONTA],R32,T_dados[CATEGORIA],"&lt;&gt;Renda",T_dados[CATEGORIA],"&lt;&gt;Transferência",T_dados[DATA],"&gt;="&amp;FEV_I,T_dados[DATA],"&lt;="&amp;FEV_F)+SUMIFS(T_dados[VALOR],T_dados[CONTA],R32,T_dados[CATEGORIA],"Transferência",T_dados[SUBCATEGORIA],"Saída",T_dados[DATA],"&gt;="&amp;FEV_I,T_dados[DATA],"&lt;="&amp;FEV_F)</f>
        <v>0</v>
      </c>
      <c r="T35" s="29">
        <f>Table2110[[#This Row],[ENTRADA]]-Table2110[[#This Row],[SAÍDA]]</f>
        <v>0</v>
      </c>
      <c r="U35" s="29">
        <f>U34+Table2110[[#This Row],[SALDO]]</f>
        <v>0</v>
      </c>
      <c r="AT35" s="2"/>
    </row>
    <row r="36" spans="1:46" x14ac:dyDescent="0.25">
      <c r="A36" s="3" t="s">
        <v>128</v>
      </c>
      <c r="C36" s="24">
        <f>SUMIFS(T_dados[VALOR],T_dados[CONTA],C32,T_dados[CATEGORIA],"Renda",T_dados[CATEGORIA],"&lt;&gt;Transferência",T_dados[DATA],"&gt;="&amp;MAR_I,T_dados[DATA],"&lt;="&amp;MAR_F)+SUMIFS(T_dados[VALOR],T_dados[CONTA],C32,T_dados[CATEGORIA],"Transferência",T_dados[SUBCATEGORIA],"Entrada",T_dados[DATA],"&gt;="&amp;MAR_I,T_dados[DATA],"&lt;="&amp;MAR_F)</f>
        <v>0</v>
      </c>
      <c r="D36" s="24">
        <f>SUMIFS(T_dados[VALOR],T_dados[CONTA],C32,T_dados[CATEGORIA],"&lt;&gt;Renda",T_dados[CATEGORIA],"&lt;&gt;Transferência",T_dados[DATA],"&gt;="&amp;MAR_I,T_dados[DATA],"&lt;="&amp;MAR_F)+SUMIFS(T_dados[VALOR],T_dados[CONTA],C32,T_dados[CATEGORIA],"Transferência",T_dados[SUBCATEGORIA],"Saída",T_dados[DATA],"&gt;="&amp;MAR_I,T_dados[DATA],"&lt;="&amp;MAR_F)</f>
        <v>0</v>
      </c>
      <c r="E36" s="29">
        <f>Table19[[#This Row],[ENTRADA]]-Table19[[#This Row],[SAÍDA]]</f>
        <v>0</v>
      </c>
      <c r="F36" s="29">
        <f>F35+Table19[[#This Row],[SALDO]]</f>
        <v>0</v>
      </c>
      <c r="G36" s="4"/>
      <c r="H36" s="24">
        <f>SUMIFS(T_dados[VALOR],T_dados[CONTA],H32,T_dados[CATEGORIA],"Renda",T_dados[CATEGORIA],"&lt;&gt;Transferência",T_dados[DATA],"&gt;="&amp;MAR_I,T_dados[DATA],"&lt;="&amp;MAR_F)+SUMIFS(T_dados[VALOR],T_dados[CONTA],H32,T_dados[CATEGORIA],"Transferência",T_dados[SUBCATEGORIA],"Entrada",T_dados[DATA],"&gt;="&amp;MAR_I,T_dados[DATA],"&lt;="&amp;MAR_F)</f>
        <v>0</v>
      </c>
      <c r="I36" s="24">
        <f>SUMIFS(T_dados[VALOR],T_dados[CONTA],H32,T_dados[CATEGORIA],"&lt;&gt;Renda",T_dados[CATEGORIA],"&lt;&gt;Transferência",T_dados[DATA],"&gt;="&amp;MAR_I,T_dados[DATA],"&lt;="&amp;MAR_F)+SUMIFS(T_dados[VALOR],T_dados[CONTA],H32,T_dados[CATEGORIA],"Transferência",T_dados[SUBCATEGORIA],"Saída",T_dados[DATA],"&gt;="&amp;MAR_I,T_dados[DATA],"&lt;="&amp;MAR_F)</f>
        <v>0</v>
      </c>
      <c r="J36" s="29">
        <f>Table20[[#This Row],[ENTRADA]]-Table20[[#This Row],[SAÍDA]]</f>
        <v>0</v>
      </c>
      <c r="K36" s="29">
        <f>K35+Table20[[#This Row],[SALDO]]</f>
        <v>0</v>
      </c>
      <c r="L36" s="4"/>
      <c r="M36" s="24">
        <f>SUMIFS(T_dados[VALOR],T_dados[CONTA],M32,T_dados[CATEGORIA],"Renda",T_dados[CATEGORIA],"&lt;&gt;Transferência",T_dados[DATA],"&gt;="&amp;MAR_I,T_dados[DATA],"&lt;="&amp;MAR_F)+SUMIFS(T_dados[VALOR],T_dados[CONTA],M32,T_dados[CATEGORIA],"Transferência",T_dados[SUBCATEGORIA],"Entrada",T_dados[DATA],"&gt;="&amp;MAR_I,T_dados[DATA],"&lt;="&amp;MAR_F)</f>
        <v>0</v>
      </c>
      <c r="N36" s="24">
        <f>SUMIFS(T_dados[VALOR],T_dados[CONTA],M32,T_dados[CATEGORIA],"&lt;&gt;Renda",T_dados[CATEGORIA],"&lt;&gt;Transferência",T_dados[DATA],"&gt;="&amp;MAR_I,T_dados[DATA],"&lt;="&amp;MAR_F)+SUMIFS(T_dados[VALOR],T_dados[CONTA],M32,T_dados[CATEGORIA],"Transferência",T_dados[SUBCATEGORIA],"Saída",T_dados[DATA],"&gt;="&amp;MAR_I,T_dados[DATA],"&lt;="&amp;MAR_F)</f>
        <v>0</v>
      </c>
      <c r="O36" s="29">
        <f>Table21[[#This Row],[ENTRADA]]-Table21[[#This Row],[SAÍDA]]</f>
        <v>0</v>
      </c>
      <c r="P36" s="29">
        <f>Table21[[#This Row],[SALDO]]+P35</f>
        <v>0</v>
      </c>
      <c r="R36" s="24">
        <f>SUMIFS(T_dados[VALOR],T_dados[CONTA],R32,T_dados[CATEGORIA],"Renda",T_dados[CATEGORIA],"&lt;&gt;Transferência",T_dados[DATA],"&gt;="&amp;MAR_I,T_dados[DATA],"&lt;="&amp;MAR_F)+SUMIFS(T_dados[VALOR],T_dados[CONTA],R32,T_dados[CATEGORIA],"Transferência",T_dados[SUBCATEGORIA],"Entrada",T_dados[DATA],"&gt;="&amp;MAR_I,T_dados[DATA],"&lt;="&amp;MAR_F)</f>
        <v>0</v>
      </c>
      <c r="S36" s="24">
        <f>SUMIFS(T_dados[VALOR],T_dados[CONTA],R32,T_dados[CATEGORIA],"&lt;&gt;Renda",T_dados[CATEGORIA],"&lt;&gt;Transferência",T_dados[DATA],"&gt;="&amp;MAR_I,T_dados[DATA],"&lt;="&amp;MAR_F)+SUMIFS(T_dados[VALOR],T_dados[CONTA],R32,T_dados[CATEGORIA],"Transferência",T_dados[SUBCATEGORIA],"Saída",T_dados[DATA],"&gt;="&amp;MAR_I,T_dados[DATA],"&lt;="&amp;MAR_F)</f>
        <v>0</v>
      </c>
      <c r="T36" s="29">
        <f>Table2110[[#This Row],[ENTRADA]]-Table2110[[#This Row],[SAÍDA]]</f>
        <v>0</v>
      </c>
      <c r="U36" s="29">
        <f>U35+Table2110[[#This Row],[SALDO]]</f>
        <v>0</v>
      </c>
    </row>
    <row r="37" spans="1:46" x14ac:dyDescent="0.25">
      <c r="A37" s="3" t="s">
        <v>129</v>
      </c>
      <c r="C37" s="24">
        <f>SUMIFS(T_dados[VALOR],T_dados[CONTA],C32,T_dados[CATEGORIA],"Renda",T_dados[CATEGORIA],"&lt;&gt;Transferência",T_dados[DATA],"&gt;="&amp;ABR_I,T_dados[DATA],"&lt;="&amp;ABR_F)+SUMIFS(T_dados[VALOR],T_dados[CONTA],C32,T_dados[CATEGORIA],"Transferência",T_dados[SUBCATEGORIA],"Entrada",T_dados[DATA],"&gt;="&amp;ABR_I,T_dados[DATA],"&lt;="&amp;ABR_F)</f>
        <v>0</v>
      </c>
      <c r="D37" s="24">
        <f>SUMIFS(T_dados[VALOR],T_dados[CONTA],C32,T_dados[CATEGORIA],"&lt;&gt;Renda",T_dados[CATEGORIA],"&lt;&gt;Transferência",T_dados[DATA],"&gt;="&amp;ABR_I,T_dados[DATA],"&lt;="&amp;ABR_F)+SUMIFS(T_dados[VALOR],T_dados[CONTA],C32,T_dados[CATEGORIA],"Transferência",T_dados[SUBCATEGORIA],"Saída",T_dados[DATA],"&gt;="&amp;ABR_I,T_dados[DATA],"&lt;="&amp;ABR_F)</f>
        <v>0</v>
      </c>
      <c r="E37" s="29">
        <f>Table19[[#This Row],[ENTRADA]]-Table19[[#This Row],[SAÍDA]]</f>
        <v>0</v>
      </c>
      <c r="F37" s="29">
        <f>F36+Table19[[#This Row],[SALDO]]</f>
        <v>0</v>
      </c>
      <c r="G37" s="4"/>
      <c r="H37" s="24">
        <f>SUMIFS(T_dados[VALOR],T_dados[CONTA],H32,T_dados[CATEGORIA],"Renda",T_dados[CATEGORIA],"&lt;&gt;Transferência",T_dados[DATA],"&gt;="&amp;ABR_I,T_dados[DATA],"&lt;="&amp;ABR_F)+SUMIFS(T_dados[VALOR],T_dados[CONTA],H32,T_dados[CATEGORIA],"Transferência",T_dados[SUBCATEGORIA],"Entrada",T_dados[DATA],"&gt;="&amp;ABR_I,T_dados[DATA],"&lt;="&amp;ABR_F)</f>
        <v>0</v>
      </c>
      <c r="I37" s="24">
        <f>SUMIFS(T_dados[VALOR],T_dados[CONTA],H32,T_dados[CATEGORIA],"&lt;&gt;Renda",T_dados[CATEGORIA],"&lt;&gt;Transferência",T_dados[DATA],"&gt;="&amp;ABR_I,T_dados[DATA],"&lt;="&amp;ABR_F)+SUMIFS(T_dados[VALOR],T_dados[CONTA],H32,T_dados[CATEGORIA],"Transferência",T_dados[SUBCATEGORIA],"Saída",T_dados[DATA],"&gt;="&amp;ABR_I,T_dados[DATA],"&lt;="&amp;ABR_F)</f>
        <v>0</v>
      </c>
      <c r="J37" s="29">
        <f>Table20[[#This Row],[ENTRADA]]-Table20[[#This Row],[SAÍDA]]</f>
        <v>0</v>
      </c>
      <c r="K37" s="29">
        <f>K36+Table20[[#This Row],[SALDO]]</f>
        <v>0</v>
      </c>
      <c r="L37" s="4"/>
      <c r="M37" s="24">
        <f>SUMIFS(T_dados[VALOR],T_dados[CONTA],M32,T_dados[CATEGORIA],"Renda",T_dados[CATEGORIA],"&lt;&gt;Transferência",T_dados[DATA],"&gt;="&amp;ABR_I,T_dados[DATA],"&lt;="&amp;ABR_F)+SUMIFS(T_dados[VALOR],T_dados[CONTA],M32,T_dados[CATEGORIA],"Transferência",T_dados[SUBCATEGORIA],"Entrada",T_dados[DATA],"&gt;="&amp;ABR_I,T_dados[DATA],"&lt;="&amp;ABR_F)</f>
        <v>0</v>
      </c>
      <c r="N37" s="24">
        <f>SUMIFS(T_dados[VALOR],T_dados[CONTA],M32,T_dados[CATEGORIA],"&lt;&gt;Renda",T_dados[CATEGORIA],"&lt;&gt;Transferência",T_dados[DATA],"&gt;="&amp;ABR_I,T_dados[DATA],"&lt;="&amp;ABR_F)+SUMIFS(T_dados[VALOR],T_dados[CONTA],M32,T_dados[CATEGORIA],"Transferência",T_dados[SUBCATEGORIA],"Saída",T_dados[DATA],"&gt;="&amp;ABR_I,T_dados[DATA],"&lt;="&amp;ABR_F)</f>
        <v>0</v>
      </c>
      <c r="O37" s="29">
        <f>Table21[[#This Row],[ENTRADA]]-Table21[[#This Row],[SAÍDA]]</f>
        <v>0</v>
      </c>
      <c r="P37" s="29">
        <f>Table21[[#This Row],[SALDO]]+P36</f>
        <v>0</v>
      </c>
      <c r="R37" s="24">
        <f>SUMIFS(T_dados[VALOR],T_dados[CONTA],R32,T_dados[CATEGORIA],"Renda",T_dados[CATEGORIA],"&lt;&gt;Transferência",T_dados[DATA],"&gt;="&amp;ABR_I,T_dados[DATA],"&lt;="&amp;ABR_F)+SUMIFS(T_dados[VALOR],T_dados[CONTA],R32,T_dados[CATEGORIA],"Transferência",T_dados[SUBCATEGORIA],"Entrada",T_dados[DATA],"&gt;="&amp;ABR_I,T_dados[DATA],"&lt;="&amp;ABR_F)</f>
        <v>0</v>
      </c>
      <c r="S37" s="24">
        <f>SUMIFS(T_dados[VALOR],T_dados[CONTA],R32,T_dados[CATEGORIA],"&lt;&gt;Renda",T_dados[CATEGORIA],"&lt;&gt;Transferência",T_dados[DATA],"&gt;="&amp;ABR_I,T_dados[DATA],"&lt;="&amp;ABR_F)+SUMIFS(T_dados[VALOR],T_dados[CONTA],R32,T_dados[CATEGORIA],"Transferência",T_dados[SUBCATEGORIA],"Saída",T_dados[DATA],"&gt;="&amp;ABR_I,T_dados[DATA],"&lt;="&amp;ABR_F)</f>
        <v>0</v>
      </c>
      <c r="T37" s="29">
        <f>Table2110[[#This Row],[ENTRADA]]-Table2110[[#This Row],[SAÍDA]]</f>
        <v>0</v>
      </c>
      <c r="U37" s="29">
        <f>U36+Table2110[[#This Row],[SALDO]]</f>
        <v>0</v>
      </c>
    </row>
    <row r="38" spans="1:46" x14ac:dyDescent="0.25">
      <c r="A38" s="3" t="s">
        <v>130</v>
      </c>
      <c r="C38" s="24">
        <f>SUMIFS(T_dados[VALOR],T_dados[CONTA],C32,T_dados[CATEGORIA],"Renda",T_dados[CATEGORIA],"&lt;&gt;Transferência",T_dados[DATA],"&gt;="&amp;MAI_I,T_dados[DATA],"&lt;="&amp;MAI_F)+SUMIFS(T_dados[VALOR],T_dados[CONTA],C32,T_dados[CATEGORIA],"Transferência",T_dados[SUBCATEGORIA],"Entrada",T_dados[DATA],"&gt;="&amp;MAI_I,T_dados[DATA],"&lt;="&amp;MAI_F)</f>
        <v>0</v>
      </c>
      <c r="D38" s="24">
        <f>SUMIFS(T_dados[VALOR],T_dados[CONTA],C32,T_dados[CATEGORIA],"&lt;&gt;Renda",T_dados[CATEGORIA],"&lt;&gt;Transferência",T_dados[DATA],"&gt;="&amp;MAI_I,T_dados[DATA],"&lt;="&amp;MAI_F)+SUMIFS(T_dados[VALOR],T_dados[CONTA],C32,T_dados[CATEGORIA],"Transferência",T_dados[SUBCATEGORIA],"Saída",T_dados[DATA],"&gt;="&amp;MAI_I,T_dados[DATA],"&lt;="&amp;MAI_F)</f>
        <v>0</v>
      </c>
      <c r="E38" s="29">
        <f>Table19[[#This Row],[ENTRADA]]-Table19[[#This Row],[SAÍDA]]</f>
        <v>0</v>
      </c>
      <c r="F38" s="29">
        <f>F37+Table19[[#This Row],[SALDO]]</f>
        <v>0</v>
      </c>
      <c r="G38" s="4"/>
      <c r="H38" s="24">
        <f>SUMIFS(T_dados[VALOR],T_dados[CONTA],H32,T_dados[CATEGORIA],"Renda",T_dados[CATEGORIA],"&lt;&gt;Transferência",T_dados[DATA],"&gt;="&amp;MAI_I,T_dados[DATA],"&lt;="&amp;MAI_F)+SUMIFS(T_dados[VALOR],T_dados[CONTA],H32,T_dados[CATEGORIA],"Transferência",T_dados[SUBCATEGORIA],"Entrada",T_dados[DATA],"&gt;="&amp;MAI_I,T_dados[DATA],"&lt;="&amp;MAI_F)</f>
        <v>0</v>
      </c>
      <c r="I38" s="24">
        <f>SUMIFS(T_dados[VALOR],T_dados[CONTA],H32,T_dados[CATEGORIA],"&lt;&gt;Renda",T_dados[CATEGORIA],"&lt;&gt;Transferência",T_dados[DATA],"&gt;="&amp;MAI_I,T_dados[DATA],"&lt;="&amp;MAI_F)+SUMIFS(T_dados[VALOR],T_dados[CONTA],H32,T_dados[CATEGORIA],"Transferência",T_dados[SUBCATEGORIA],"Saída",T_dados[DATA],"&gt;="&amp;MAI_I,T_dados[DATA],"&lt;="&amp;MAI_F)</f>
        <v>0</v>
      </c>
      <c r="J38" s="29">
        <f>Table20[[#This Row],[ENTRADA]]-Table20[[#This Row],[SAÍDA]]</f>
        <v>0</v>
      </c>
      <c r="K38" s="29">
        <f>K37+Table20[[#This Row],[SALDO]]</f>
        <v>0</v>
      </c>
      <c r="L38" s="4"/>
      <c r="M38" s="24">
        <f>SUMIFS(T_dados[VALOR],T_dados[CONTA],M32,T_dados[CATEGORIA],"Renda",T_dados[CATEGORIA],"&lt;&gt;Transferência",T_dados[DATA],"&gt;="&amp;MAI_I,T_dados[DATA],"&lt;="&amp;MAI_F)+SUMIFS(T_dados[VALOR],T_dados[CONTA],M32,T_dados[CATEGORIA],"Transferência",T_dados[SUBCATEGORIA],"Entrada",T_dados[DATA],"&gt;="&amp;MAI_I,T_dados[DATA],"&lt;="&amp;MAI_F)</f>
        <v>0</v>
      </c>
      <c r="N38" s="24">
        <f>SUMIFS(T_dados[VALOR],T_dados[CONTA],M32,T_dados[CATEGORIA],"&lt;&gt;Renda",T_dados[CATEGORIA],"&lt;&gt;Transferência",T_dados[DATA],"&gt;="&amp;MAI_I,T_dados[DATA],"&lt;="&amp;MAI_F)+SUMIFS(T_dados[VALOR],T_dados[CONTA],M32,T_dados[CATEGORIA],"Transferência",T_dados[SUBCATEGORIA],"Saída",T_dados[DATA],"&gt;="&amp;MAI_I,T_dados[DATA],"&lt;="&amp;MAI_F)</f>
        <v>0</v>
      </c>
      <c r="O38" s="29">
        <f>Table21[[#This Row],[ENTRADA]]-Table21[[#This Row],[SAÍDA]]</f>
        <v>0</v>
      </c>
      <c r="P38" s="29">
        <f>Table21[[#This Row],[SALDO]]+P37</f>
        <v>0</v>
      </c>
      <c r="R38" s="24">
        <f>SUMIFS(T_dados[VALOR],T_dados[CONTA],R32,T_dados[CATEGORIA],"Renda",T_dados[CATEGORIA],"&lt;&gt;Transferência",T_dados[DATA],"&gt;="&amp;MAI_I,T_dados[DATA],"&lt;="&amp;MAI_F)+SUMIFS(T_dados[VALOR],T_dados[CONTA],R32,T_dados[CATEGORIA],"Transferência",T_dados[SUBCATEGORIA],"Entrada",T_dados[DATA],"&gt;="&amp;MAI_I,T_dados[DATA],"&lt;="&amp;MAI_F)</f>
        <v>0</v>
      </c>
      <c r="S38" s="24">
        <f>SUMIFS(T_dados[VALOR],T_dados[CONTA],R32,T_dados[CATEGORIA],"&lt;&gt;Renda",T_dados[CATEGORIA],"&lt;&gt;Transferência",T_dados[DATA],"&gt;="&amp;MAI_I,T_dados[DATA],"&lt;="&amp;MAI_F)+SUMIFS(T_dados[VALOR],T_dados[CONTA],R32,T_dados[CATEGORIA],"Transferência",T_dados[SUBCATEGORIA],"Saída",T_dados[DATA],"&gt;="&amp;MAI_I,T_dados[DATA],"&lt;="&amp;MAI_F)</f>
        <v>0</v>
      </c>
      <c r="T38" s="29">
        <f>Table2110[[#This Row],[ENTRADA]]-Table2110[[#This Row],[SAÍDA]]</f>
        <v>0</v>
      </c>
      <c r="U38" s="29">
        <f>U37+Table2110[[#This Row],[SALDO]]</f>
        <v>0</v>
      </c>
    </row>
    <row r="39" spans="1:46" x14ac:dyDescent="0.25">
      <c r="A39" s="3" t="s">
        <v>131</v>
      </c>
      <c r="C39" s="24">
        <f>SUMIFS(T_dados[VALOR],T_dados[CONTA],C32,T_dados[CATEGORIA],"Renda",T_dados[CATEGORIA],"&lt;&gt;Transferência",T_dados[DATA],"&gt;="&amp;JUN_I,T_dados[DATA],"&lt;="&amp;JUN_F)+SUMIFS(T_dados[VALOR],T_dados[CONTA],C32,T_dados[CATEGORIA],"Transferência",T_dados[SUBCATEGORIA],"Entrada",T_dados[DATA],"&gt;="&amp;JUN_I,T_dados[DATA],"&lt;="&amp;JUN_F)</f>
        <v>0</v>
      </c>
      <c r="D39" s="24">
        <f>SUMIFS(T_dados[VALOR],T_dados[CONTA],C32,T_dados[CATEGORIA],"&lt;&gt;Renda",T_dados[CATEGORIA],"&lt;&gt;Transferência",T_dados[DATA],"&gt;="&amp;JUN_I,T_dados[DATA],"&lt;="&amp;JUN_F)+SUMIFS(T_dados[VALOR],T_dados[CONTA],C32,T_dados[CATEGORIA],"Transferência",T_dados[SUBCATEGORIA],"Saída",T_dados[DATA],"&gt;="&amp;JUN_I,T_dados[DATA],"&lt;="&amp;JUN_F)</f>
        <v>0</v>
      </c>
      <c r="E39" s="29">
        <f>Table19[[#This Row],[ENTRADA]]-Table19[[#This Row],[SAÍDA]]</f>
        <v>0</v>
      </c>
      <c r="F39" s="29">
        <f>F38+Table19[[#This Row],[SALDO]]</f>
        <v>0</v>
      </c>
      <c r="G39" s="4"/>
      <c r="H39" s="24">
        <f>SUMIFS(T_dados[VALOR],T_dados[CONTA],H32,T_dados[CATEGORIA],"Renda",T_dados[CATEGORIA],"&lt;&gt;Transferência",T_dados[DATA],"&gt;="&amp;JUN_I,T_dados[DATA],"&lt;="&amp;JUN_F)+SUMIFS(T_dados[VALOR],T_dados[CONTA],H32,T_dados[CATEGORIA],"Transferência",T_dados[SUBCATEGORIA],"Entrada",T_dados[DATA],"&gt;="&amp;JUN_I,T_dados[DATA],"&lt;="&amp;JUN_F)</f>
        <v>0</v>
      </c>
      <c r="I39" s="24">
        <f>SUMIFS(T_dados[VALOR],T_dados[CONTA],H32,T_dados[CATEGORIA],"&lt;&gt;Renda",T_dados[CATEGORIA],"&lt;&gt;Transferência",T_dados[DATA],"&gt;="&amp;JUN_I,T_dados[DATA],"&lt;="&amp;JUN_F)+SUMIFS(T_dados[VALOR],T_dados[CONTA],H32,T_dados[CATEGORIA],"Transferência",T_dados[SUBCATEGORIA],"Saída",T_dados[DATA],"&gt;="&amp;JUN_I,T_dados[DATA],"&lt;="&amp;JUN_F)</f>
        <v>0</v>
      </c>
      <c r="J39" s="29">
        <f>Table20[[#This Row],[ENTRADA]]-Table20[[#This Row],[SAÍDA]]</f>
        <v>0</v>
      </c>
      <c r="K39" s="29">
        <f>K38+Table20[[#This Row],[SALDO]]</f>
        <v>0</v>
      </c>
      <c r="L39" s="4"/>
      <c r="M39" s="24">
        <f>SUMIFS(T_dados[VALOR],T_dados[CONTA],M32,T_dados[CATEGORIA],"Renda",T_dados[CATEGORIA],"&lt;&gt;Transferência",T_dados[DATA],"&gt;="&amp;JUN_I,T_dados[DATA],"&lt;="&amp;JUN_F)+SUMIFS(T_dados[VALOR],T_dados[CONTA],M32,T_dados[CATEGORIA],"Transferência",T_dados[SUBCATEGORIA],"Entrada",T_dados[DATA],"&gt;="&amp;JUN_I,T_dados[DATA],"&lt;="&amp;JUN_F)</f>
        <v>0</v>
      </c>
      <c r="N39" s="24">
        <f>SUMIFS(T_dados[VALOR],T_dados[CONTA],M32,T_dados[CATEGORIA],"&lt;&gt;Renda",T_dados[CATEGORIA],"&lt;&gt;Transferência",T_dados[DATA],"&gt;="&amp;JUN_I,T_dados[DATA],"&lt;="&amp;JUN_F)+SUMIFS(T_dados[VALOR],T_dados[CONTA],M32,T_dados[CATEGORIA],"Transferência",T_dados[SUBCATEGORIA],"Saída",T_dados[DATA],"&gt;="&amp;JUN_I,T_dados[DATA],"&lt;="&amp;JUN_F)</f>
        <v>0</v>
      </c>
      <c r="O39" s="29">
        <f>Table21[[#This Row],[ENTRADA]]-Table21[[#This Row],[SAÍDA]]</f>
        <v>0</v>
      </c>
      <c r="P39" s="29">
        <f>Table21[[#This Row],[SALDO]]+P38</f>
        <v>0</v>
      </c>
      <c r="R39" s="24">
        <f>SUMIFS(T_dados[VALOR],T_dados[CONTA],R32,T_dados[CATEGORIA],"Renda",T_dados[CATEGORIA],"&lt;&gt;Transferência",T_dados[DATA],"&gt;="&amp;JUN_I,T_dados[DATA],"&lt;="&amp;JUN_F)+SUMIFS(T_dados[VALOR],T_dados[CONTA],R32,T_dados[CATEGORIA],"Transferência",T_dados[SUBCATEGORIA],"Entrada",T_dados[DATA],"&gt;="&amp;JUN_I,T_dados[DATA],"&lt;="&amp;JUN_F)</f>
        <v>0</v>
      </c>
      <c r="S39" s="24">
        <f>SUMIFS(T_dados[VALOR],T_dados[CONTA],R32,T_dados[CATEGORIA],"&lt;&gt;Renda",T_dados[CATEGORIA],"&lt;&gt;Transferência",T_dados[DATA],"&gt;="&amp;JUN_I,T_dados[DATA],"&lt;="&amp;JUN_F)+SUMIFS(T_dados[VALOR],T_dados[CONTA],R32,T_dados[CATEGORIA],"Transferência",T_dados[SUBCATEGORIA],"Saída",T_dados[DATA],"&gt;="&amp;JUN_I,T_dados[DATA],"&lt;="&amp;JUN_F)</f>
        <v>0</v>
      </c>
      <c r="T39" s="29">
        <f>Table2110[[#This Row],[ENTRADA]]-Table2110[[#This Row],[SAÍDA]]</f>
        <v>0</v>
      </c>
      <c r="U39" s="29">
        <f>U38+Table2110[[#This Row],[SALDO]]</f>
        <v>0</v>
      </c>
    </row>
    <row r="40" spans="1:46" x14ac:dyDescent="0.25">
      <c r="A40" s="3" t="s">
        <v>132</v>
      </c>
      <c r="C40" s="24">
        <f>SUMIFS(T_dados[VALOR],T_dados[CONTA],C32,T_dados[CATEGORIA],"Renda",T_dados[CATEGORIA],"&lt;&gt;Transferência",T_dados[DATA],"&gt;="&amp;JUL_I,T_dados[DATA],"&lt;="&amp;JUL_F)+SUMIFS(T_dados[VALOR],T_dados[CONTA],C32,T_dados[CATEGORIA],"Transferência",T_dados[SUBCATEGORIA],"Entrada",T_dados[DATA],"&gt;="&amp;JUL_I,T_dados[DATA],"&lt;="&amp;JUL_F)</f>
        <v>0</v>
      </c>
      <c r="D40" s="24">
        <f>SUMIFS(T_dados[VALOR],T_dados[CONTA],C32,T_dados[CATEGORIA],"&lt;&gt;Renda",T_dados[CATEGORIA],"&lt;&gt;Transferência",T_dados[DATA],"&gt;="&amp;JUL_I,T_dados[DATA],"&lt;="&amp;JUL_F)+SUMIFS(T_dados[VALOR],T_dados[CONTA],C32,T_dados[CATEGORIA],"Transferência",T_dados[SUBCATEGORIA],"Saída",T_dados[DATA],"&gt;="&amp;JUL_I,T_dados[DATA],"&lt;="&amp;JUL_F)</f>
        <v>0</v>
      </c>
      <c r="E40" s="29">
        <f>Table19[[#This Row],[ENTRADA]]-Table19[[#This Row],[SAÍDA]]</f>
        <v>0</v>
      </c>
      <c r="F40" s="29">
        <f>F39+Table19[[#This Row],[SALDO]]</f>
        <v>0</v>
      </c>
      <c r="G40" s="4"/>
      <c r="H40" s="24">
        <f>SUMIFS(T_dados[VALOR],T_dados[CONTA],H32,T_dados[CATEGORIA],"Renda",T_dados[CATEGORIA],"&lt;&gt;Transferência",T_dados[DATA],"&gt;="&amp;JUL_I,T_dados[DATA],"&lt;="&amp;JUL_F)+SUMIFS(T_dados[VALOR],T_dados[CONTA],H32,T_dados[CATEGORIA],"Transferência",T_dados[SUBCATEGORIA],"Entrada",T_dados[DATA],"&gt;="&amp;JUL_I,T_dados[DATA],"&lt;="&amp;JUL_F)</f>
        <v>0</v>
      </c>
      <c r="I40" s="24">
        <f>SUMIFS(T_dados[VALOR],T_dados[CONTA],H32,T_dados[CATEGORIA],"&lt;&gt;Renda",T_dados[CATEGORIA],"&lt;&gt;Transferência",T_dados[DATA],"&gt;="&amp;JUL_I,T_dados[DATA],"&lt;="&amp;JUL_F)+SUMIFS(T_dados[VALOR],T_dados[CONTA],H32,T_dados[CATEGORIA],"Transferência",T_dados[SUBCATEGORIA],"Saída",T_dados[DATA],"&gt;="&amp;JUL_I,T_dados[DATA],"&lt;="&amp;JUL_F)</f>
        <v>0</v>
      </c>
      <c r="J40" s="29">
        <f>Table20[[#This Row],[ENTRADA]]-Table20[[#This Row],[SAÍDA]]</f>
        <v>0</v>
      </c>
      <c r="K40" s="29">
        <f>K39+Table20[[#This Row],[SALDO]]</f>
        <v>0</v>
      </c>
      <c r="L40" s="4"/>
      <c r="M40" s="24">
        <f>SUMIFS(T_dados[VALOR],T_dados[CONTA],M32,T_dados[CATEGORIA],"Renda",T_dados[CATEGORIA],"&lt;&gt;Transferência",T_dados[DATA],"&gt;="&amp;JUL_I,T_dados[DATA],"&lt;="&amp;JUL_F)+SUMIFS(T_dados[VALOR],T_dados[CONTA],M32,T_dados[CATEGORIA],"Transferência",T_dados[SUBCATEGORIA],"Entrada",T_dados[DATA],"&gt;="&amp;JUL_I,T_dados[DATA],"&lt;="&amp;JUL_F)</f>
        <v>0</v>
      </c>
      <c r="N40" s="24">
        <f>SUMIFS(T_dados[VALOR],T_dados[CONTA],M32,T_dados[CATEGORIA],"&lt;&gt;Renda",T_dados[CATEGORIA],"&lt;&gt;Transferência",T_dados[DATA],"&gt;="&amp;JUL_I,T_dados[DATA],"&lt;="&amp;JUL_F)+SUMIFS(T_dados[VALOR],T_dados[CONTA],M32,T_dados[CATEGORIA],"Transferência",T_dados[SUBCATEGORIA],"Saída",T_dados[DATA],"&gt;="&amp;JUL_I,T_dados[DATA],"&lt;="&amp;JUL_F)</f>
        <v>0</v>
      </c>
      <c r="O40" s="29">
        <f>Table21[[#This Row],[ENTRADA]]-Table21[[#This Row],[SAÍDA]]</f>
        <v>0</v>
      </c>
      <c r="P40" s="29">
        <f>Table21[[#This Row],[SALDO]]+P39</f>
        <v>0</v>
      </c>
      <c r="R40" s="24">
        <f>SUMIFS(T_dados[VALOR],T_dados[CONTA],R32,T_dados[CATEGORIA],"Renda",T_dados[CATEGORIA],"&lt;&gt;Transferência",T_dados[DATA],"&gt;="&amp;JUL_I,T_dados[DATA],"&lt;="&amp;JUL_F)+SUMIFS(T_dados[VALOR],T_dados[CONTA],R32,T_dados[CATEGORIA],"Transferência",T_dados[SUBCATEGORIA],"Entrada",T_dados[DATA],"&gt;="&amp;JUL_I,T_dados[DATA],"&lt;="&amp;JUL_F)</f>
        <v>0</v>
      </c>
      <c r="S40" s="24">
        <f>SUMIFS(T_dados[VALOR],T_dados[CONTA],R32,T_dados[CATEGORIA],"&lt;&gt;Renda",T_dados[CATEGORIA],"&lt;&gt;Transferência",T_dados[DATA],"&gt;="&amp;JUL_I,T_dados[DATA],"&lt;="&amp;JUL_F)+SUMIFS(T_dados[VALOR],T_dados[CONTA],R32,T_dados[CATEGORIA],"Transferência",T_dados[SUBCATEGORIA],"Saída",T_dados[DATA],"&gt;="&amp;JUL_I,T_dados[DATA],"&lt;="&amp;JUL_F)</f>
        <v>0</v>
      </c>
      <c r="T40" s="29">
        <f>Table2110[[#This Row],[ENTRADA]]-Table2110[[#This Row],[SAÍDA]]</f>
        <v>0</v>
      </c>
      <c r="U40" s="29">
        <f>U39+Table2110[[#This Row],[SALDO]]</f>
        <v>0</v>
      </c>
    </row>
    <row r="41" spans="1:46" x14ac:dyDescent="0.25">
      <c r="A41" s="3" t="s">
        <v>133</v>
      </c>
      <c r="C41" s="24">
        <f>SUMIFS(T_dados[VALOR],T_dados[CONTA],C32,T_dados[CATEGORIA],"Renda",T_dados[CATEGORIA],"&lt;&gt;Transferência",T_dados[DATA],"&gt;="&amp;AGO_I,T_dados[DATA],"&lt;="&amp;AGO_F)+SUMIFS(T_dados[VALOR],T_dados[CONTA],C32,T_dados[CATEGORIA],"Transferência",T_dados[SUBCATEGORIA],"Entrada",T_dados[DATA],"&gt;="&amp;AGO_I,T_dados[DATA],"&lt;="&amp;AGO_F)</f>
        <v>0</v>
      </c>
      <c r="D41" s="24">
        <f>SUMIFS(T_dados[VALOR],T_dados[CONTA],C32,T_dados[CATEGORIA],"&lt;&gt;Renda",T_dados[CATEGORIA],"&lt;&gt;Transferência",T_dados[DATA],"&gt;="&amp;AGO_I,T_dados[DATA],"&lt;="&amp;AGO_F)+SUMIFS(T_dados[VALOR],T_dados[CONTA],C32,T_dados[CATEGORIA],"Transferência",T_dados[SUBCATEGORIA],"Saída",T_dados[DATA],"&gt;="&amp;AGO_I,T_dados[DATA],"&lt;="&amp;AGO_F)</f>
        <v>0</v>
      </c>
      <c r="E41" s="29">
        <f>Table19[[#This Row],[ENTRADA]]-Table19[[#This Row],[SAÍDA]]</f>
        <v>0</v>
      </c>
      <c r="F41" s="29">
        <f>F40+Table19[[#This Row],[SALDO]]</f>
        <v>0</v>
      </c>
      <c r="G41" s="4"/>
      <c r="H41" s="24">
        <f>SUMIFS(T_dados[VALOR],T_dados[CONTA],H32,T_dados[CATEGORIA],"Renda",T_dados[CATEGORIA],"&lt;&gt;Transferência",T_dados[DATA],"&gt;="&amp;AGO_I,T_dados[DATA],"&lt;="&amp;AGO_F)+SUMIFS(T_dados[VALOR],T_dados[CONTA],H32,T_dados[CATEGORIA],"Transferência",T_dados[SUBCATEGORIA],"Entrada",T_dados[DATA],"&gt;="&amp;AGO_I,T_dados[DATA],"&lt;="&amp;AGO_F)</f>
        <v>0</v>
      </c>
      <c r="I41" s="24">
        <f>SUMIFS(T_dados[VALOR],T_dados[CONTA],H32,T_dados[CATEGORIA],"&lt;&gt;Renda",T_dados[CATEGORIA],"&lt;&gt;Transferência",T_dados[DATA],"&gt;="&amp;AGO_I,T_dados[DATA],"&lt;="&amp;AGO_F)+SUMIFS(T_dados[VALOR],T_dados[CONTA],H32,T_dados[CATEGORIA],"Transferência",T_dados[SUBCATEGORIA],"Saída",T_dados[DATA],"&gt;="&amp;AGO_I,T_dados[DATA],"&lt;="&amp;AGO_F)</f>
        <v>0</v>
      </c>
      <c r="J41" s="29">
        <f>Table20[[#This Row],[ENTRADA]]-Table20[[#This Row],[SAÍDA]]</f>
        <v>0</v>
      </c>
      <c r="K41" s="29">
        <f>K40+Table20[[#This Row],[SALDO]]</f>
        <v>0</v>
      </c>
      <c r="L41" s="4"/>
      <c r="M41" s="24">
        <f>SUMIFS(T_dados[VALOR],T_dados[CONTA],M32,T_dados[CATEGORIA],"Renda",T_dados[CATEGORIA],"&lt;&gt;Transferência",T_dados[DATA],"&gt;="&amp;AGO_I,T_dados[DATA],"&lt;="&amp;AGO_F)+SUMIFS(T_dados[VALOR],T_dados[CONTA],M32,T_dados[CATEGORIA],"Transferência",T_dados[SUBCATEGORIA],"Entrada",T_dados[DATA],"&gt;="&amp;AGO_I,T_dados[DATA],"&lt;="&amp;AGO_F)</f>
        <v>0</v>
      </c>
      <c r="N41" s="24">
        <f>SUMIFS(T_dados[VALOR],T_dados[CONTA],M32,T_dados[CATEGORIA],"&lt;&gt;Renda",T_dados[CATEGORIA],"&lt;&gt;Transferência",T_dados[DATA],"&gt;="&amp;AGO_I,T_dados[DATA],"&lt;="&amp;AGO_F)+SUMIFS(T_dados[VALOR],T_dados[CONTA],M32,T_dados[CATEGORIA],"Transferência",T_dados[SUBCATEGORIA],"Saída",T_dados[DATA],"&gt;="&amp;AGO_I,T_dados[DATA],"&lt;="&amp;AGO_F)</f>
        <v>0</v>
      </c>
      <c r="O41" s="29">
        <f>Table21[[#This Row],[ENTRADA]]-Table21[[#This Row],[SAÍDA]]</f>
        <v>0</v>
      </c>
      <c r="P41" s="29">
        <f>Table21[[#This Row],[SALDO]]+P40</f>
        <v>0</v>
      </c>
      <c r="R41" s="24">
        <f>SUMIFS(T_dados[VALOR],T_dados[CONTA],R32,T_dados[CATEGORIA],"Renda",T_dados[CATEGORIA],"&lt;&gt;Transferência",T_dados[DATA],"&gt;="&amp;AGO_I,T_dados[DATA],"&lt;="&amp;AGO_F)+SUMIFS(T_dados[VALOR],T_dados[CONTA],R32,T_dados[CATEGORIA],"Transferência",T_dados[SUBCATEGORIA],"Entrada",T_dados[DATA],"&gt;="&amp;AGO_I,T_dados[DATA],"&lt;="&amp;AGO_F)</f>
        <v>0</v>
      </c>
      <c r="S41" s="24">
        <f>SUMIFS(T_dados[VALOR],T_dados[CONTA],R32,T_dados[CATEGORIA],"&lt;&gt;Renda",T_dados[CATEGORIA],"&lt;&gt;Transferência",T_dados[DATA],"&gt;="&amp;AGO_I,T_dados[DATA],"&lt;="&amp;AGO_F)+SUMIFS(T_dados[VALOR],T_dados[CONTA],R32,T_dados[CATEGORIA],"Transferência",T_dados[SUBCATEGORIA],"Saída",T_dados[DATA],"&gt;="&amp;AGO_I,T_dados[DATA],"&lt;="&amp;AGO_F)</f>
        <v>0</v>
      </c>
      <c r="T41" s="29">
        <f>Table2110[[#This Row],[ENTRADA]]-Table2110[[#This Row],[SAÍDA]]</f>
        <v>0</v>
      </c>
      <c r="U41" s="29">
        <f>U40+Table2110[[#This Row],[SALDO]]</f>
        <v>0</v>
      </c>
    </row>
    <row r="42" spans="1:46" x14ac:dyDescent="0.25">
      <c r="A42" s="3" t="s">
        <v>134</v>
      </c>
      <c r="C42" s="24">
        <f>SUMIFS(T_dados[VALOR],T_dados[CONTA],C32,T_dados[CATEGORIA],"Renda",T_dados[CATEGORIA],"&lt;&gt;Transferência",T_dados[DATA],"&gt;="&amp;SET_I,T_dados[DATA],"&lt;="&amp;SET_F)+SUMIFS(T_dados[VALOR],T_dados[CONTA],C32,T_dados[CATEGORIA],"Transferência",T_dados[SUBCATEGORIA],"Entrada",T_dados[DATA],"&gt;="&amp;SET_I,T_dados[DATA],"&lt;="&amp;SET_F)</f>
        <v>0</v>
      </c>
      <c r="D42" s="24">
        <f>SUMIFS(T_dados[VALOR],T_dados[CONTA],C32,T_dados[CATEGORIA],"&lt;&gt;Renda",T_dados[CATEGORIA],"&lt;&gt;Transferência",T_dados[DATA],"&gt;="&amp;SET_I,T_dados[DATA],"&lt;="&amp;SET_F)+SUMIFS(T_dados[VALOR],T_dados[CONTA],C32,T_dados[CATEGORIA],"Transferência",T_dados[SUBCATEGORIA],"Saída",T_dados[DATA],"&gt;="&amp;SET_I,T_dados[DATA],"&lt;="&amp;SET_F)</f>
        <v>0</v>
      </c>
      <c r="E42" s="29">
        <f>Table19[[#This Row],[ENTRADA]]-Table19[[#This Row],[SAÍDA]]</f>
        <v>0</v>
      </c>
      <c r="F42" s="29">
        <f>F41+Table19[[#This Row],[SALDO]]</f>
        <v>0</v>
      </c>
      <c r="G42" s="4"/>
      <c r="H42" s="24">
        <f>SUMIFS(T_dados[VALOR],T_dados[CONTA],H32,T_dados[CATEGORIA],"Renda",T_dados[CATEGORIA],"&lt;&gt;Transferência",T_dados[DATA],"&gt;="&amp;SET_I,T_dados[DATA],"&lt;="&amp;SET_F)+SUMIFS(T_dados[VALOR],T_dados[CONTA],H32,T_dados[CATEGORIA],"Transferência",T_dados[SUBCATEGORIA],"Entrada",T_dados[DATA],"&gt;="&amp;SET_I,T_dados[DATA],"&lt;="&amp;SET_F)</f>
        <v>0</v>
      </c>
      <c r="I42" s="24">
        <f>SUMIFS(T_dados[VALOR],T_dados[CONTA],H32,T_dados[CATEGORIA],"&lt;&gt;Renda",T_dados[CATEGORIA],"&lt;&gt;Transferência",T_dados[DATA],"&gt;="&amp;SET_I,T_dados[DATA],"&lt;="&amp;SET_F)+SUMIFS(T_dados[VALOR],T_dados[CONTA],H32,T_dados[CATEGORIA],"Transferência",T_dados[SUBCATEGORIA],"Saída",T_dados[DATA],"&gt;="&amp;SET_I,T_dados[DATA],"&lt;="&amp;SET_F)</f>
        <v>0</v>
      </c>
      <c r="J42" s="29">
        <f>Table20[[#This Row],[ENTRADA]]-Table20[[#This Row],[SAÍDA]]</f>
        <v>0</v>
      </c>
      <c r="K42" s="29">
        <f>K41+Table20[[#This Row],[SALDO]]</f>
        <v>0</v>
      </c>
      <c r="L42" s="4"/>
      <c r="M42" s="24">
        <f>SUMIFS(T_dados[VALOR],T_dados[CONTA],M32,T_dados[CATEGORIA],"Renda",T_dados[CATEGORIA],"&lt;&gt;Transferência",T_dados[DATA],"&gt;="&amp;SET_I,T_dados[DATA],"&lt;="&amp;SET_F)+SUMIFS(T_dados[VALOR],T_dados[CONTA],M32,T_dados[CATEGORIA],"Transferência",T_dados[SUBCATEGORIA],"Entrada",T_dados[DATA],"&gt;="&amp;SET_I,T_dados[DATA],"&lt;="&amp;SET_F)</f>
        <v>0</v>
      </c>
      <c r="N42" s="24">
        <f>SUMIFS(T_dados[VALOR],T_dados[CONTA],M32,T_dados[CATEGORIA],"&lt;&gt;Renda",T_dados[CATEGORIA],"&lt;&gt;Transferência",T_dados[DATA],"&gt;="&amp;SET_I,T_dados[DATA],"&lt;="&amp;SET_F)+SUMIFS(T_dados[VALOR],T_dados[CONTA],M32,T_dados[CATEGORIA],"Transferência",T_dados[SUBCATEGORIA],"Saída",T_dados[DATA],"&gt;="&amp;SET_I,T_dados[DATA],"&lt;="&amp;SET_F)</f>
        <v>0</v>
      </c>
      <c r="O42" s="29">
        <f>Table21[[#This Row],[ENTRADA]]-Table21[[#This Row],[SAÍDA]]</f>
        <v>0</v>
      </c>
      <c r="P42" s="29">
        <f>Table21[[#This Row],[SALDO]]+P41</f>
        <v>0</v>
      </c>
      <c r="R42" s="24">
        <f>SUMIFS(T_dados[VALOR],T_dados[CONTA],R32,T_dados[CATEGORIA],"Renda",T_dados[CATEGORIA],"&lt;&gt;Transferência",T_dados[DATA],"&gt;="&amp;SET_I,T_dados[DATA],"&lt;="&amp;SET_F)+SUMIFS(T_dados[VALOR],T_dados[CONTA],R32,T_dados[CATEGORIA],"Transferência",T_dados[SUBCATEGORIA],"Entrada",T_dados[DATA],"&gt;="&amp;SET_I,T_dados[DATA],"&lt;="&amp;SET_F)</f>
        <v>0</v>
      </c>
      <c r="S42" s="24">
        <f>SUMIFS(T_dados[VALOR],T_dados[CONTA],R32,T_dados[CATEGORIA],"&lt;&gt;Renda",T_dados[CATEGORIA],"&lt;&gt;Transferência",T_dados[DATA],"&gt;="&amp;SET_I,T_dados[DATA],"&lt;="&amp;SET_F)+SUMIFS(T_dados[VALOR],T_dados[CONTA],R32,T_dados[CATEGORIA],"Transferência",T_dados[SUBCATEGORIA],"Saída",T_dados[DATA],"&gt;="&amp;SET_I,T_dados[DATA],"&lt;="&amp;SET_F)</f>
        <v>0</v>
      </c>
      <c r="T42" s="29">
        <f>Table2110[[#This Row],[ENTRADA]]-Table2110[[#This Row],[SAÍDA]]</f>
        <v>0</v>
      </c>
      <c r="U42" s="29">
        <f>U41+Table2110[[#This Row],[SALDO]]</f>
        <v>0</v>
      </c>
    </row>
    <row r="43" spans="1:46" x14ac:dyDescent="0.25">
      <c r="A43" s="3" t="s">
        <v>135</v>
      </c>
      <c r="C43" s="24">
        <f>SUMIFS(T_dados[VALOR],T_dados[CONTA],C32,T_dados[CATEGORIA],"Renda",T_dados[CATEGORIA],"&lt;&gt;Transferência",T_dados[DATA],"&gt;="&amp;OUT_I,T_dados[DATA],"&lt;="&amp;OUT_F)+SUMIFS(T_dados[VALOR],T_dados[CONTA],C32,T_dados[CATEGORIA],"Transferência",T_dados[SUBCATEGORIA],"Entrada",T_dados[DATA],"&gt;="&amp;OUT_I,T_dados[DATA],"&lt;="&amp;OUT_F)</f>
        <v>0</v>
      </c>
      <c r="D43" s="24">
        <f>SUMIFS(T_dados[VALOR],T_dados[CONTA],C32,T_dados[CATEGORIA],"&lt;&gt;Renda",T_dados[CATEGORIA],"&lt;&gt;Transferência",T_dados[DATA],"&gt;="&amp;OUT_I,T_dados[DATA],"&lt;="&amp;OUT_F)+SUMIFS(T_dados[VALOR],T_dados[CONTA],C32,T_dados[CATEGORIA],"Transferência",T_dados[SUBCATEGORIA],"Saída",T_dados[DATA],"&gt;="&amp;OUT_I,T_dados[DATA],"&lt;="&amp;OUT_F)</f>
        <v>0</v>
      </c>
      <c r="E43" s="29">
        <f>Table19[[#This Row],[ENTRADA]]-Table19[[#This Row],[SAÍDA]]</f>
        <v>0</v>
      </c>
      <c r="F43" s="29">
        <f>F42+Table19[[#This Row],[SALDO]]</f>
        <v>0</v>
      </c>
      <c r="G43" s="4"/>
      <c r="H43" s="24">
        <f>SUMIFS(T_dados[VALOR],T_dados[CONTA],H32,T_dados[CATEGORIA],"Renda",T_dados[CATEGORIA],"&lt;&gt;Transferência",T_dados[DATA],"&gt;="&amp;OUT_I,T_dados[DATA],"&lt;="&amp;OUT_F)+SUMIFS(T_dados[VALOR],T_dados[CONTA],H32,T_dados[CATEGORIA],"Transferência",T_dados[SUBCATEGORIA],"Entrada",T_dados[DATA],"&gt;="&amp;OUT_I,T_dados[DATA],"&lt;="&amp;OUT_F)</f>
        <v>0</v>
      </c>
      <c r="I43" s="24">
        <f>SUMIFS(T_dados[VALOR],T_dados[CONTA],H32,T_dados[CATEGORIA],"&lt;&gt;Renda",T_dados[CATEGORIA],"&lt;&gt;Transferência",T_dados[DATA],"&gt;="&amp;OUT_I,T_dados[DATA],"&lt;="&amp;OUT_F)+SUMIFS(T_dados[VALOR],T_dados[CONTA],H32,T_dados[CATEGORIA],"Transferência",T_dados[SUBCATEGORIA],"Saída",T_dados[DATA],"&gt;="&amp;OUT_I,T_dados[DATA],"&lt;="&amp;OUT_F)</f>
        <v>0</v>
      </c>
      <c r="J43" s="29">
        <f>Table20[[#This Row],[ENTRADA]]-Table20[[#This Row],[SAÍDA]]</f>
        <v>0</v>
      </c>
      <c r="K43" s="29">
        <f>K42+Table20[[#This Row],[SALDO]]</f>
        <v>0</v>
      </c>
      <c r="L43" s="4"/>
      <c r="M43" s="24">
        <f>SUMIFS(T_dados[VALOR],T_dados[CONTA],M32,T_dados[CATEGORIA],"Renda",T_dados[CATEGORIA],"&lt;&gt;Transferência",T_dados[DATA],"&gt;="&amp;OUT_I,T_dados[DATA],"&lt;="&amp;OUT_F)+SUMIFS(T_dados[VALOR],T_dados[CONTA],M32,T_dados[CATEGORIA],"Transferência",T_dados[SUBCATEGORIA],"Entrada",T_dados[DATA],"&gt;="&amp;OUT_I,T_dados[DATA],"&lt;="&amp;OUT_F)</f>
        <v>0</v>
      </c>
      <c r="N43" s="24">
        <f>SUMIFS(T_dados[VALOR],T_dados[CONTA],M32,T_dados[CATEGORIA],"&lt;&gt;Renda",T_dados[CATEGORIA],"&lt;&gt;Transferência",T_dados[DATA],"&gt;="&amp;OUT_I,T_dados[DATA],"&lt;="&amp;OUT_F)+SUMIFS(T_dados[VALOR],T_dados[CONTA],M32,T_dados[CATEGORIA],"Transferência",T_dados[SUBCATEGORIA],"Saída",T_dados[DATA],"&gt;="&amp;OUT_I,T_dados[DATA],"&lt;="&amp;OUT_F)</f>
        <v>0</v>
      </c>
      <c r="O43" s="29">
        <f>Table21[[#This Row],[ENTRADA]]-Table21[[#This Row],[SAÍDA]]</f>
        <v>0</v>
      </c>
      <c r="P43" s="29">
        <f>Table21[[#This Row],[SALDO]]+P42</f>
        <v>0</v>
      </c>
      <c r="R43" s="24">
        <f>SUMIFS(T_dados[VALOR],T_dados[CONTA],R32,T_dados[CATEGORIA],"Renda",T_dados[CATEGORIA],"&lt;&gt;Transferência",T_dados[DATA],"&gt;="&amp;OUT_I,T_dados[DATA],"&lt;="&amp;OUT_F)+SUMIFS(T_dados[VALOR],T_dados[CONTA],R32,T_dados[CATEGORIA],"Transferência",T_dados[SUBCATEGORIA],"Entrada",T_dados[DATA],"&gt;="&amp;OUT_I,T_dados[DATA],"&lt;="&amp;OUT_F)</f>
        <v>0</v>
      </c>
      <c r="S43" s="24">
        <f>SUMIFS(T_dados[VALOR],T_dados[CONTA],R32,T_dados[CATEGORIA],"&lt;&gt;Renda",T_dados[CATEGORIA],"&lt;&gt;Transferência",T_dados[DATA],"&gt;="&amp;OUT_I,T_dados[DATA],"&lt;="&amp;OUT_F)+SUMIFS(T_dados[VALOR],T_dados[CONTA],R32,T_dados[CATEGORIA],"Transferência",T_dados[SUBCATEGORIA],"Saída",T_dados[DATA],"&gt;="&amp;OUT_I,T_dados[DATA],"&lt;="&amp;OUT_F)</f>
        <v>0</v>
      </c>
      <c r="T43" s="29">
        <f>Table2110[[#This Row],[ENTRADA]]-Table2110[[#This Row],[SAÍDA]]</f>
        <v>0</v>
      </c>
      <c r="U43" s="29">
        <f>U42+Table2110[[#This Row],[SALDO]]</f>
        <v>0</v>
      </c>
    </row>
    <row r="44" spans="1:46" x14ac:dyDescent="0.25">
      <c r="A44" s="3" t="s">
        <v>136</v>
      </c>
      <c r="C44" s="24">
        <f>SUMIFS(T_dados[VALOR],T_dados[CONTA],C32,T_dados[CATEGORIA],"Renda",T_dados[CATEGORIA],"&lt;&gt;Transferência",T_dados[DATA],"&gt;="&amp;NOV_I,T_dados[DATA],"&lt;="&amp;NOV_F)+SUMIFS(T_dados[VALOR],T_dados[CONTA],C32,T_dados[CATEGORIA],"Transferência",T_dados[SUBCATEGORIA],"Entrada",T_dados[DATA],"&gt;="&amp;NOV_I,T_dados[DATA],"&lt;="&amp;NOV_F)</f>
        <v>0</v>
      </c>
      <c r="D44" s="24">
        <f>SUMIFS(T_dados[VALOR],T_dados[CONTA],C32,T_dados[CATEGORIA],"&lt;&gt;Renda",T_dados[CATEGORIA],"&lt;&gt;Transferência",T_dados[DATA],"&gt;="&amp;NOV_I,T_dados[DATA],"&lt;="&amp;NOV_F)+SUMIFS(T_dados[VALOR],T_dados[CONTA],C32,T_dados[CATEGORIA],"Transferência",T_dados[SUBCATEGORIA],"Saída",T_dados[DATA],"&gt;="&amp;NOV_I,T_dados[DATA],"&lt;="&amp;NOV_F)</f>
        <v>0</v>
      </c>
      <c r="E44" s="29">
        <f>Table19[[#This Row],[ENTRADA]]-Table19[[#This Row],[SAÍDA]]</f>
        <v>0</v>
      </c>
      <c r="F44" s="29">
        <f>F43+Table19[[#This Row],[SALDO]]</f>
        <v>0</v>
      </c>
      <c r="G44" s="4"/>
      <c r="H44" s="24">
        <f>SUMIFS(T_dados[VALOR],T_dados[CONTA],H32,T_dados[CATEGORIA],"Renda",T_dados[CATEGORIA],"&lt;&gt;Transferência",T_dados[DATA],"&gt;="&amp;NOV_I,T_dados[DATA],"&lt;="&amp;NOV_F)+SUMIFS(T_dados[VALOR],T_dados[CONTA],H32,T_dados[CATEGORIA],"Transferência",T_dados[SUBCATEGORIA],"Entrada",T_dados[DATA],"&gt;="&amp;NOV_I,T_dados[DATA],"&lt;="&amp;NOV_F)</f>
        <v>0</v>
      </c>
      <c r="I44" s="24">
        <f>SUMIFS(T_dados[VALOR],T_dados[CONTA],H32,T_dados[CATEGORIA],"&lt;&gt;Renda",T_dados[CATEGORIA],"&lt;&gt;Transferência",T_dados[DATA],"&gt;="&amp;NOV_I,T_dados[DATA],"&lt;="&amp;NOV_F)+SUMIFS(T_dados[VALOR],T_dados[CONTA],H32,T_dados[CATEGORIA],"Transferência",T_dados[SUBCATEGORIA],"Saída",T_dados[DATA],"&gt;="&amp;NOV_I,T_dados[DATA],"&lt;="&amp;NOV_F)</f>
        <v>0</v>
      </c>
      <c r="J44" s="29">
        <f>Table20[[#This Row],[ENTRADA]]-Table20[[#This Row],[SAÍDA]]</f>
        <v>0</v>
      </c>
      <c r="K44" s="29">
        <f>K43+Table20[[#This Row],[SALDO]]</f>
        <v>0</v>
      </c>
      <c r="L44" s="4"/>
      <c r="M44" s="24">
        <f>SUMIFS(T_dados[VALOR],T_dados[CONTA],M32,T_dados[CATEGORIA],"Renda",T_dados[CATEGORIA],"&lt;&gt;Transferência",T_dados[DATA],"&gt;="&amp;NOV_I,T_dados[DATA],"&lt;="&amp;NOV_F)+SUMIFS(T_dados[VALOR],T_dados[CONTA],M32,T_dados[CATEGORIA],"Transferência",T_dados[SUBCATEGORIA],"Entrada",T_dados[DATA],"&gt;="&amp;NOV_I,T_dados[DATA],"&lt;="&amp;NOV_F)</f>
        <v>0</v>
      </c>
      <c r="N44" s="24">
        <f>SUMIFS(T_dados[VALOR],T_dados[CONTA],M32,T_dados[CATEGORIA],"&lt;&gt;Renda",T_dados[CATEGORIA],"&lt;&gt;Transferência",T_dados[DATA],"&gt;="&amp;NOV_I,T_dados[DATA],"&lt;="&amp;NOV_F)+SUMIFS(T_dados[VALOR],T_dados[CONTA],M32,T_dados[CATEGORIA],"Transferência",T_dados[SUBCATEGORIA],"Saída",T_dados[DATA],"&gt;="&amp;NOV_I,T_dados[DATA],"&lt;="&amp;NOV_F)</f>
        <v>0</v>
      </c>
      <c r="O44" s="29">
        <f>Table21[[#This Row],[ENTRADA]]-Table21[[#This Row],[SAÍDA]]</f>
        <v>0</v>
      </c>
      <c r="P44" s="29">
        <f>Table21[[#This Row],[SALDO]]+P43</f>
        <v>0</v>
      </c>
      <c r="R44" s="24">
        <f>SUMIFS(T_dados[VALOR],T_dados[CONTA],R32,T_dados[CATEGORIA],"Renda",T_dados[CATEGORIA],"&lt;&gt;Transferência",T_dados[DATA],"&gt;="&amp;NOV_I,T_dados[DATA],"&lt;="&amp;NOV_F)+SUMIFS(T_dados[VALOR],T_dados[CONTA],R32,T_dados[CATEGORIA],"Transferência",T_dados[SUBCATEGORIA],"Entrada",T_dados[DATA],"&gt;="&amp;NOV_I,T_dados[DATA],"&lt;="&amp;NOV_F)</f>
        <v>0</v>
      </c>
      <c r="S44" s="24">
        <f>SUMIFS(T_dados[VALOR],T_dados[CONTA],R32,T_dados[CATEGORIA],"&lt;&gt;Renda",T_dados[CATEGORIA],"&lt;&gt;Transferência",T_dados[DATA],"&gt;="&amp;NOV_I,T_dados[DATA],"&lt;="&amp;NOV_F)+SUMIFS(T_dados[VALOR],T_dados[CONTA],R32,T_dados[CATEGORIA],"Transferência",T_dados[SUBCATEGORIA],"Saída",T_dados[DATA],"&gt;="&amp;NOV_I,T_dados[DATA],"&lt;="&amp;NOV_F)</f>
        <v>0</v>
      </c>
      <c r="T44" s="29">
        <f>Table2110[[#This Row],[ENTRADA]]-Table2110[[#This Row],[SAÍDA]]</f>
        <v>0</v>
      </c>
      <c r="U44" s="29">
        <f>U43+Table2110[[#This Row],[SALDO]]</f>
        <v>0</v>
      </c>
    </row>
    <row r="45" spans="1:46" x14ac:dyDescent="0.25">
      <c r="A45" s="3" t="s">
        <v>137</v>
      </c>
      <c r="C45" s="24">
        <f>SUMIFS(T_dados[VALOR],T_dados[CONTA],C32,T_dados[CATEGORIA],"Renda",T_dados[CATEGORIA],"&lt;&gt;Transferência",T_dados[DATA],"&gt;="&amp;DEZ_I,T_dados[DATA],"&lt;="&amp;DEZ_F)+SUMIFS(T_dados[VALOR],T_dados[CONTA],C32,T_dados[CATEGORIA],"Transferência",T_dados[SUBCATEGORIA],"Entrada",T_dados[DATA],"&gt;="&amp;DEZ_I,T_dados[DATA],"&lt;="&amp;DEZ_F)</f>
        <v>0</v>
      </c>
      <c r="D45" s="24">
        <f>SUMIFS(T_dados[VALOR],T_dados[CONTA],C32,T_dados[CATEGORIA],"&lt;&gt;Renda",T_dados[CATEGORIA],"&lt;&gt;Transferência",T_dados[DATA],"&gt;="&amp;DEZ_I,T_dados[DATA],"&lt;="&amp;DEZ_F)+SUMIFS(T_dados[VALOR],T_dados[CONTA],C32,T_dados[CATEGORIA],"Transferência",T_dados[SUBCATEGORIA],"Saída",T_dados[DATA],"&gt;="&amp;DEZ_I,T_dados[DATA],"&lt;="&amp;DEZ_F)</f>
        <v>0</v>
      </c>
      <c r="E45" s="29">
        <f>Table19[[#This Row],[ENTRADA]]-Table19[[#This Row],[SAÍDA]]</f>
        <v>0</v>
      </c>
      <c r="F45" s="29">
        <f>F44+Table19[[#This Row],[SALDO]]</f>
        <v>0</v>
      </c>
      <c r="G45" s="4"/>
      <c r="H45" s="24">
        <f>SUMIFS(T_dados[VALOR],T_dados[CONTA],H32,T_dados[CATEGORIA],"Renda",T_dados[CATEGORIA],"&lt;&gt;Transferência",T_dados[DATA],"&gt;="&amp;DEZ_I,T_dados[DATA],"&lt;="&amp;DEZ_F)+SUMIFS(T_dados[VALOR],T_dados[CONTA],H32,T_dados[CATEGORIA],"Transferência",T_dados[SUBCATEGORIA],"Entrada",T_dados[DATA],"&gt;="&amp;DEZ_I,T_dados[DATA],"&lt;="&amp;DEZ_F)</f>
        <v>0</v>
      </c>
      <c r="I45" s="24">
        <f>SUMIFS(T_dados[VALOR],T_dados[CONTA],H32,T_dados[CATEGORIA],"&lt;&gt;Renda",T_dados[CATEGORIA],"&lt;&gt;Transferência",T_dados[DATA],"&gt;="&amp;DEZ_I,T_dados[DATA],"&lt;="&amp;DEZ_F)+SUMIFS(T_dados[VALOR],T_dados[CONTA],H32,T_dados[CATEGORIA],"Transferência",T_dados[SUBCATEGORIA],"Saída",T_dados[DATA],"&gt;="&amp;DEZ_I,T_dados[DATA],"&lt;="&amp;DEZ_F)</f>
        <v>0</v>
      </c>
      <c r="J45" s="29">
        <f>Table20[[#This Row],[ENTRADA]]-Table20[[#This Row],[SAÍDA]]</f>
        <v>0</v>
      </c>
      <c r="K45" s="29">
        <f>K44+Table20[[#This Row],[SALDO]]</f>
        <v>0</v>
      </c>
      <c r="L45" s="4"/>
      <c r="M45" s="24">
        <f>SUMIFS(T_dados[VALOR],T_dados[CONTA],M32,T_dados[CATEGORIA],"Renda",T_dados[CATEGORIA],"&lt;&gt;Transferência",T_dados[DATA],"&gt;="&amp;DEZ_I,T_dados[DATA],"&lt;="&amp;DEZ_F)+SUMIFS(T_dados[VALOR],T_dados[CONTA],M32,T_dados[CATEGORIA],"Transferência",T_dados[SUBCATEGORIA],"Entrada",T_dados[DATA],"&gt;="&amp;DEZ_I,T_dados[DATA],"&lt;="&amp;DEZ_F)</f>
        <v>0</v>
      </c>
      <c r="N45" s="24">
        <f>SUMIFS(T_dados[VALOR],T_dados[CONTA],M32,T_dados[CATEGORIA],"&lt;&gt;Renda",T_dados[CATEGORIA],"&lt;&gt;Transferência",T_dados[DATA],"&gt;="&amp;DEZ_I,T_dados[DATA],"&lt;="&amp;DEZ_F)+SUMIFS(T_dados[VALOR],T_dados[CONTA],M32,T_dados[CATEGORIA],"Transferência",T_dados[SUBCATEGORIA],"Saída",T_dados[DATA],"&gt;="&amp;DEZ_I,T_dados[DATA],"&lt;="&amp;DEZ_F)</f>
        <v>0</v>
      </c>
      <c r="O45" s="29">
        <f>Table21[[#This Row],[ENTRADA]]-Table21[[#This Row],[SAÍDA]]</f>
        <v>0</v>
      </c>
      <c r="P45" s="29">
        <f>Table21[[#This Row],[SALDO]]+P44</f>
        <v>0</v>
      </c>
      <c r="R45" s="24">
        <f>SUMIFS(T_dados[VALOR],T_dados[CONTA],R32,T_dados[CATEGORIA],"Renda",T_dados[CATEGORIA],"&lt;&gt;Transferência",T_dados[DATA],"&gt;="&amp;DEZ_I,T_dados[DATA],"&lt;="&amp;DEZ_F)+SUMIFS(T_dados[VALOR],T_dados[CONTA],R32,T_dados[CATEGORIA],"Transferência",T_dados[SUBCATEGORIA],"Entrada",T_dados[DATA],"&gt;="&amp;DEZ_I,T_dados[DATA],"&lt;="&amp;DEZ_F)</f>
        <v>0</v>
      </c>
      <c r="S45" s="24">
        <f>SUMIFS(T_dados[VALOR],T_dados[CONTA],R32,T_dados[CATEGORIA],"&lt;&gt;Renda",T_dados[CATEGORIA],"&lt;&gt;Transferência",T_dados[DATA],"&gt;="&amp;DEZ_I,T_dados[DATA],"&lt;="&amp;DEZ_F)+SUMIFS(T_dados[VALOR],T_dados[CONTA],R32,T_dados[CATEGORIA],"Transferência",T_dados[SUBCATEGORIA],"Saída",T_dados[DATA],"&gt;="&amp;DEZ_I,T_dados[DATA],"&lt;="&amp;DEZ_F)</f>
        <v>0</v>
      </c>
      <c r="T45" s="29">
        <f>Table2110[[#This Row],[ENTRADA]]-Table2110[[#This Row],[SAÍDA]]</f>
        <v>0</v>
      </c>
      <c r="U45" s="29">
        <f>U44+Table2110[[#This Row],[SALDO]]</f>
        <v>0</v>
      </c>
    </row>
    <row r="46" spans="1:46" x14ac:dyDescent="0.25">
      <c r="A46" s="3" t="s">
        <v>126</v>
      </c>
      <c r="C46" s="30">
        <f>SUM(C34:C45)</f>
        <v>0</v>
      </c>
      <c r="D46" s="30">
        <f t="shared" ref="D46" si="3">SUM(D34:D45)</f>
        <v>0</v>
      </c>
      <c r="E46" s="30">
        <f>Table19[[#This Row],[ENTRADA]]-Table19[[#This Row],[SAÍDA]]</f>
        <v>0</v>
      </c>
      <c r="F46" s="30">
        <f>F45</f>
        <v>0</v>
      </c>
      <c r="G46" s="4"/>
      <c r="H46" s="30">
        <f>SUM(H34:H45)</f>
        <v>0</v>
      </c>
      <c r="I46" s="30">
        <f t="shared" ref="I46" si="4">SUM(I34:I45)</f>
        <v>0</v>
      </c>
      <c r="J46" s="30">
        <f>Table20[[#This Row],[ENTRADA]]-Table20[[#This Row],[SAÍDA]]</f>
        <v>0</v>
      </c>
      <c r="K46" s="30">
        <f>K45</f>
        <v>0</v>
      </c>
      <c r="L46" s="4"/>
      <c r="M46" s="30">
        <f>SUM(M34:M45)</f>
        <v>0</v>
      </c>
      <c r="N46" s="30">
        <f t="shared" ref="N46" si="5">SUM(N34:N45)</f>
        <v>0</v>
      </c>
      <c r="O46" s="30">
        <f>Table21[[#This Row],[ENTRADA]]-Table21[[#This Row],[SAÍDA]]</f>
        <v>0</v>
      </c>
      <c r="P46" s="30">
        <f>P45</f>
        <v>0</v>
      </c>
      <c r="R46" s="51">
        <f>SUM(R34:R45)</f>
        <v>0</v>
      </c>
      <c r="S46" s="52">
        <f t="shared" ref="S46" si="6">SUM(S34:S45)</f>
        <v>0</v>
      </c>
      <c r="T46" s="30">
        <f>Table2110[[#This Row],[ENTRADA]]-Table2110[[#This Row],[SAÍDA]]</f>
        <v>0</v>
      </c>
      <c r="U46" s="30">
        <f>U45</f>
        <v>0</v>
      </c>
    </row>
    <row r="48" spans="1:46" x14ac:dyDescent="0.25">
      <c r="C48" s="178" t="str">
        <f>Lista!F9</f>
        <v>Curto</v>
      </c>
      <c r="D48" s="178"/>
      <c r="E48" s="178"/>
      <c r="F48" s="178"/>
      <c r="H48" s="178" t="str">
        <f>Lista!F10</f>
        <v>Médio</v>
      </c>
      <c r="I48" s="178"/>
      <c r="J48" s="178"/>
      <c r="K48" s="178"/>
      <c r="M48" s="178" t="str">
        <f>Lista!F11</f>
        <v>Longo</v>
      </c>
      <c r="N48" s="178"/>
      <c r="O48" s="178"/>
      <c r="P48" s="178"/>
      <c r="R48" s="178" t="str">
        <f>Lista!F12</f>
        <v>Reserva</v>
      </c>
      <c r="S48" s="178"/>
      <c r="T48" s="178"/>
      <c r="U48" s="178"/>
      <c r="W48" s="178" t="str">
        <f>Lista!F13</f>
        <v>Viagens</v>
      </c>
      <c r="X48" s="178"/>
      <c r="Y48" s="178"/>
      <c r="Z48" s="178"/>
      <c r="AB48" s="178" t="str">
        <f>Lista!F14</f>
        <v>Educação</v>
      </c>
      <c r="AC48" s="178"/>
      <c r="AD48" s="178"/>
      <c r="AE48" s="178"/>
      <c r="AG48" s="178"/>
      <c r="AH48" s="178"/>
      <c r="AI48" s="178"/>
      <c r="AJ48" s="178"/>
    </row>
    <row r="49" spans="1:47" x14ac:dyDescent="0.25">
      <c r="A49" s="3" t="s">
        <v>110</v>
      </c>
      <c r="C49" s="7" t="s">
        <v>139</v>
      </c>
      <c r="D49" s="7" t="s">
        <v>140</v>
      </c>
      <c r="E49" s="7" t="s">
        <v>103</v>
      </c>
      <c r="F49" s="7" t="s">
        <v>138</v>
      </c>
      <c r="G49" s="4"/>
      <c r="H49" s="7" t="s">
        <v>139</v>
      </c>
      <c r="I49" s="7" t="s">
        <v>140</v>
      </c>
      <c r="J49" s="7" t="s">
        <v>103</v>
      </c>
      <c r="K49" s="7" t="s">
        <v>138</v>
      </c>
      <c r="L49" s="4"/>
      <c r="M49" s="7" t="s">
        <v>139</v>
      </c>
      <c r="N49" s="7" t="s">
        <v>140</v>
      </c>
      <c r="O49" s="7" t="s">
        <v>103</v>
      </c>
      <c r="P49" s="7" t="s">
        <v>138</v>
      </c>
      <c r="Q49" s="4"/>
      <c r="R49" s="7" t="s">
        <v>139</v>
      </c>
      <c r="S49" s="7" t="s">
        <v>140</v>
      </c>
      <c r="T49" s="7" t="s">
        <v>103</v>
      </c>
      <c r="U49" s="7" t="s">
        <v>138</v>
      </c>
      <c r="V49" s="4"/>
      <c r="W49" s="7" t="s">
        <v>139</v>
      </c>
      <c r="X49" s="7" t="s">
        <v>140</v>
      </c>
      <c r="Y49" s="7" t="s">
        <v>103</v>
      </c>
      <c r="Z49" s="7" t="s">
        <v>138</v>
      </c>
      <c r="AA49" s="4"/>
      <c r="AB49" s="7" t="s">
        <v>139</v>
      </c>
      <c r="AC49" s="7" t="s">
        <v>140</v>
      </c>
      <c r="AD49" s="7" t="s">
        <v>103</v>
      </c>
      <c r="AE49" s="7" t="s">
        <v>138</v>
      </c>
      <c r="AF49" s="4"/>
      <c r="AG49" s="7" t="s">
        <v>139</v>
      </c>
      <c r="AH49" s="7" t="s">
        <v>140</v>
      </c>
      <c r="AI49" s="7" t="s">
        <v>103</v>
      </c>
      <c r="AJ49" s="7" t="s">
        <v>138</v>
      </c>
      <c r="AT49" s="2"/>
      <c r="AU49" s="1"/>
    </row>
    <row r="50" spans="1:47" x14ac:dyDescent="0.25">
      <c r="A50" s="3" t="s">
        <v>125</v>
      </c>
      <c r="C50" s="24">
        <f>SUMIFS(T_dados[VALOR],T_dados[CONTA],C48,T_dados[CATEGORIA],"Renda",T_dados[CATEGORIA],"&lt;&gt;Transferência",T_dados[DATA],"&gt;="&amp;JAN_I,T_dados[DATA],"&lt;="&amp;JAN_F)+SUMIFS(T_dados[VALOR],T_dados[CONTA],C48,T_dados[CATEGORIA],"Transferência",T_dados[SUBCATEGORIA],"Entrada",T_dados[DATA],"&gt;="&amp;JAN_I,T_dados[DATA],"&lt;="&amp;JAN_F)</f>
        <v>0</v>
      </c>
      <c r="D50" s="24">
        <f>SUMIFS(T_dados[VALOR],T_dados[CONTA],C48,T_dados[CATEGORIA],"&lt;&gt;Renda",T_dados[CATEGORIA],"&lt;&gt;Transferência",T_dados[DATA],"&gt;="&amp;JAN_I,T_dados[DATA],"&lt;="&amp;JAN_F)+SUMIFS(T_dados[VALOR],T_dados[CONTA],C48,T_dados[CATEGORIA],"Transferência",T_dados[SUBCATEGORIA],"Saída",T_dados[DATA],"&gt;="&amp;JAN_I,T_dados[DATA],"&lt;="&amp;JAN_F)</f>
        <v>0</v>
      </c>
      <c r="E50" s="29">
        <f>Table22[[#This Row],[ENTRADA]]-Table22[[#This Row],[SAÍDA]]</f>
        <v>0</v>
      </c>
      <c r="F50" s="29">
        <f>Table22[[#This Row],[SALDO]]+Orçamento!J29</f>
        <v>0</v>
      </c>
      <c r="G50" s="4"/>
      <c r="H50" s="24">
        <f>SUMIFS(T_dados[VALOR],T_dados[CONTA],H48,T_dados[CATEGORIA],"Renda",T_dados[CATEGORIA],"&lt;&gt;Transferência",T_dados[DATA],"&gt;="&amp;JAN_I,T_dados[DATA],"&lt;="&amp;JAN_F)+SUMIFS(T_dados[VALOR],T_dados[CONTA],H48,T_dados[CATEGORIA],"Transferência",T_dados[SUBCATEGORIA],"Entrada",T_dados[DATA],"&gt;="&amp;JAN_I,T_dados[DATA],"&lt;="&amp;JAN_F)</f>
        <v>0</v>
      </c>
      <c r="I50" s="24">
        <f>SUMIFS(T_dados[VALOR],T_dados[CONTA],H48,T_dados[CATEGORIA],"&lt;&gt;Renda",T_dados[CATEGORIA],"&lt;&gt;Transferência",T_dados[DATA],"&gt;="&amp;JAN_I,T_dados[DATA],"&lt;="&amp;JAN_F)+SUMIFS(T_dados[VALOR],T_dados[CONTA],H48,T_dados[CATEGORIA],"Transferência",T_dados[SUBCATEGORIA],"Saída",T_dados[DATA],"&gt;="&amp;JAN_I,T_dados[DATA],"&lt;="&amp;JAN_F)</f>
        <v>0</v>
      </c>
      <c r="J50" s="29">
        <f>Table2224[[#This Row],[ENTRADA]]-Table2224[[#This Row],[SAÍDA]]</f>
        <v>0</v>
      </c>
      <c r="K50" s="29">
        <f>Table2224[[#This Row],[SALDO]]+Orçamento!J30</f>
        <v>0</v>
      </c>
      <c r="L50" s="4"/>
      <c r="M50" s="24">
        <f>SUMIFS(T_dados[VALOR],T_dados[CONTA],M48,T_dados[CATEGORIA],"Renda",T_dados[CATEGORIA],"&lt;&gt;Transferência",T_dados[DATA],"&gt;="&amp;JAN_I,T_dados[DATA],"&lt;="&amp;JAN_F)+SUMIFS(T_dados[VALOR],T_dados[CONTA],M48,T_dados[CATEGORIA],"Transferência",T_dados[SUBCATEGORIA],"Entrada",T_dados[DATA],"&gt;="&amp;JAN_I,T_dados[DATA],"&lt;="&amp;JAN_F)</f>
        <v>0</v>
      </c>
      <c r="N50" s="24">
        <f>SUMIFS(T_dados[VALOR],T_dados[CONTA],M48,T_dados[CATEGORIA],"&lt;&gt;Renda",T_dados[CATEGORIA],"&lt;&gt;Transferência",T_dados[DATA],"&gt;="&amp;JAN_I,T_dados[DATA],"&lt;="&amp;JAN_F)+SUMIFS(T_dados[VALOR],T_dados[CONTA],M48,T_dados[CATEGORIA],"Transferência",T_dados[SUBCATEGORIA],"Saída",T_dados[DATA],"&gt;="&amp;JAN_I,T_dados[DATA],"&lt;="&amp;JAN_F)</f>
        <v>0</v>
      </c>
      <c r="O50" s="29">
        <f>Table2225[[#This Row],[ENTRADA]]-Table2225[[#This Row],[SAÍDA]]</f>
        <v>0</v>
      </c>
      <c r="P50" s="29">
        <f>Table2225[[#This Row],[SALDO]]++Orçamento!J31</f>
        <v>0</v>
      </c>
      <c r="Q50" s="4"/>
      <c r="R50" s="24">
        <f>SUMIFS(T_dados[VALOR],T_dados[CONTA],R48,T_dados[CATEGORIA],"Renda",T_dados[CATEGORIA],"&lt;&gt;Transferência",T_dados[DATA],"&gt;="&amp;JAN_I,T_dados[DATA],"&lt;="&amp;JAN_F)+SUMIFS(T_dados[VALOR],T_dados[CONTA],R48,T_dados[CATEGORIA],"Transferência",T_dados[SUBCATEGORIA],"Entrada",T_dados[DATA],"&gt;="&amp;JAN_I,T_dados[DATA],"&lt;="&amp;JAN_F)</f>
        <v>0</v>
      </c>
      <c r="S50" s="24">
        <f>SUMIFS(T_dados[VALOR],T_dados[CONTA],R48,T_dados[CATEGORIA],"&lt;&gt;Renda",T_dados[CATEGORIA],"&lt;&gt;Transferência",T_dados[DATA],"&gt;="&amp;JAN_I,T_dados[DATA],"&lt;="&amp;JAN_F)+SUMIFS(T_dados[VALOR],T_dados[CONTA],R48,T_dados[CATEGORIA],"Transferência",T_dados[SUBCATEGORIA],"Saída",T_dados[DATA],"&gt;="&amp;JAN_I,T_dados[DATA],"&lt;="&amp;JAN_F)</f>
        <v>0</v>
      </c>
      <c r="T50" s="29">
        <f>Table2226[[#This Row],[ENTRADA]]-Table2226[[#This Row],[SAÍDA]]</f>
        <v>0</v>
      </c>
      <c r="U50" s="29">
        <f>Table2226[[#This Row],[SALDO]]++Orçamento!J32</f>
        <v>0</v>
      </c>
      <c r="V50" s="4"/>
      <c r="W50" s="24">
        <f>SUMIFS(T_dados[VALOR],T_dados[CONTA],W48,T_dados[CATEGORIA],"Renda",T_dados[CATEGORIA],"&lt;&gt;Transferência",T_dados[DATA],"&gt;="&amp;JAN_I,T_dados[DATA],"&lt;="&amp;JAN_F)+SUMIFS(T_dados[VALOR],T_dados[CONTA],W48,T_dados[CATEGORIA],"Transferência",T_dados[SUBCATEGORIA],"Entrada",T_dados[DATA],"&gt;="&amp;JAN_I,T_dados[DATA],"&lt;="&amp;JAN_F)</f>
        <v>0</v>
      </c>
      <c r="X50" s="24">
        <f>SUMIFS(T_dados[VALOR],T_dados[CONTA],W48,T_dados[CATEGORIA],"&lt;&gt;Renda",T_dados[CATEGORIA],"&lt;&gt;Transferência",T_dados[DATA],"&gt;="&amp;JAN_I,T_dados[DATA],"&lt;="&amp;JAN_F)+SUMIFS(T_dados[VALOR],T_dados[CONTA],W48,T_dados[CATEGORIA],"Transferência",T_dados[SUBCATEGORIA],"Saída",T_dados[DATA],"&gt;="&amp;JAN_I,T_dados[DATA],"&lt;="&amp;JAN_F)</f>
        <v>0</v>
      </c>
      <c r="Y50" s="29">
        <f>Table2227[[#This Row],[ENTRADA]]-Table2227[[#This Row],[SAÍDA]]</f>
        <v>0</v>
      </c>
      <c r="Z50" s="29">
        <f>Table2227[[#This Row],[SALDO]]+Orçamento!J33</f>
        <v>0</v>
      </c>
      <c r="AA50" s="4"/>
      <c r="AB50" s="24">
        <f>SUMIFS(T_dados[VALOR],T_dados[CONTA],AB48,T_dados[CATEGORIA],"Renda",T_dados[CATEGORIA],"&lt;&gt;Transferência",T_dados[DATA],"&gt;="&amp;JAN_I,T_dados[DATA],"&lt;="&amp;JAN_F)+SUMIFS(T_dados[VALOR],T_dados[CONTA],AB48,T_dados[CATEGORIA],"Transferência",T_dados[SUBCATEGORIA],"Entrada",T_dados[DATA],"&gt;="&amp;JAN_I,T_dados[DATA],"&lt;="&amp;JAN_F)</f>
        <v>0</v>
      </c>
      <c r="AC50" s="24">
        <f>SUMIFS(T_dados[VALOR],T_dados[CONTA],AB48,T_dados[CATEGORIA],"&lt;&gt;Renda",T_dados[CATEGORIA],"&lt;&gt;Transferência",T_dados[DATA],"&gt;="&amp;JAN_I,T_dados[DATA],"&lt;="&amp;JAN_F)+SUMIFS(T_dados[VALOR],T_dados[CONTA],AB48,T_dados[CATEGORIA],"Transferência",T_dados[SUBCATEGORIA],"Saída",T_dados[DATA],"&gt;="&amp;JAN_I,T_dados[DATA],"&lt;="&amp;JAN_F)</f>
        <v>0</v>
      </c>
      <c r="AD50" s="29">
        <f>Table2228[[#This Row],[ENTRADA]]-Table2228[[#This Row],[SAÍDA]]</f>
        <v>0</v>
      </c>
      <c r="AE50" s="29">
        <f>Table2228[[#This Row],[SALDO]]+Orçamento!J34</f>
        <v>0</v>
      </c>
      <c r="AF50" s="4"/>
      <c r="AG50" s="24">
        <f>SUMIFS(T_dados[VALOR],T_dados[CONTA],AG48,T_dados[CATEGORIA],"Renda",T_dados[CATEGORIA],"&lt;&gt;Transferência",T_dados[DATA],"&gt;="&amp;JAN_I,T_dados[DATA],"&lt;="&amp;JAN_F)+SUMIFS(T_dados[VALOR],T_dados[CONTA],AG48,T_dados[CATEGORIA],"Transferência",T_dados[SUBCATEGORIA],"Entrada",T_dados[DATA],"&gt;="&amp;JAN_I,T_dados[DATA],"&lt;="&amp;JAN_F)</f>
        <v>0</v>
      </c>
      <c r="AH50" s="24">
        <f>SUMIFS(T_dados[VALOR],T_dados[CONTA],AG48,T_dados[CATEGORIA],"&lt;&gt;Renda",T_dados[CATEGORIA],"&lt;&gt;Transferência",T_dados[DATA],"&gt;="&amp;JAN_I,T_dados[DATA],"&lt;="&amp;JAN_F)+SUMIFS(T_dados[VALOR],T_dados[CONTA],AG48,T_dados[CATEGORIA],"Transferência",T_dados[SUBCATEGORIA],"Saída",T_dados[DATA],"&gt;="&amp;JAN_I,T_dados[DATA],"&lt;="&amp;JAN_F)</f>
        <v>0</v>
      </c>
      <c r="AI50" s="29">
        <f>Table2229[[#This Row],[ENTRADA]]-Table2229[[#This Row],[SAÍDA]]</f>
        <v>0</v>
      </c>
      <c r="AJ50" s="29">
        <f>Table2229[[#This Row],[SALDO]]</f>
        <v>0</v>
      </c>
      <c r="AL50" s="2"/>
      <c r="AN50" s="2"/>
      <c r="AO50" s="2"/>
    </row>
    <row r="51" spans="1:47" x14ac:dyDescent="0.25">
      <c r="A51" s="3" t="s">
        <v>127</v>
      </c>
      <c r="C51" s="24">
        <f>SUMIFS(T_dados[VALOR],T_dados[CONTA],C48,T_dados[CATEGORIA],"Renda",T_dados[CATEGORIA],"&lt;&gt;Transferência",T_dados[DATA],"&gt;="&amp;FEV_I,T_dados[DATA],"&lt;="&amp;FEV_F)+SUMIFS(T_dados[VALOR],T_dados[CONTA],C48,T_dados[CATEGORIA],"Transferência",T_dados[SUBCATEGORIA],"Entrada",T_dados[DATA],"&gt;="&amp;FEV_I,T_dados[DATA],"&lt;="&amp;FEV_F)</f>
        <v>0</v>
      </c>
      <c r="D51" s="24">
        <f>SUMIFS(T_dados[VALOR],T_dados[CONTA],C48,T_dados[CATEGORIA],"&lt;&gt;Renda",T_dados[CATEGORIA],"&lt;&gt;Transferência",T_dados[DATA],"&gt;="&amp;FEV_I,T_dados[DATA],"&lt;="&amp;FEV_F)+SUMIFS(T_dados[VALOR],T_dados[CONTA],C48,T_dados[CATEGORIA],"Transferência",T_dados[SUBCATEGORIA],"Saída",T_dados[DATA],"&gt;="&amp;FEV_I,T_dados[DATA],"&lt;="&amp;FEV_F)</f>
        <v>0</v>
      </c>
      <c r="E51" s="29">
        <f>Table22[[#This Row],[ENTRADA]]-Table22[[#This Row],[SAÍDA]]</f>
        <v>0</v>
      </c>
      <c r="F51" s="29">
        <f>F50+Table22[[#This Row],[SALDO]]</f>
        <v>0</v>
      </c>
      <c r="G51" s="4"/>
      <c r="H51" s="24">
        <f>SUMIFS(T_dados[VALOR],T_dados[CONTA],H48,T_dados[CATEGORIA],"Renda",T_dados[CATEGORIA],"&lt;&gt;Transferência",T_dados[DATA],"&gt;="&amp;FEV_I,T_dados[DATA],"&lt;="&amp;FEV_F)+SUMIFS(T_dados[VALOR],T_dados[CONTA],H48,T_dados[CATEGORIA],"Transferência",T_dados[SUBCATEGORIA],"Entrada",T_dados[DATA],"&gt;="&amp;FEV_I,T_dados[DATA],"&lt;="&amp;FEV_F)</f>
        <v>0</v>
      </c>
      <c r="I51" s="24">
        <f>SUMIFS(T_dados[VALOR],T_dados[CONTA],H48,T_dados[CATEGORIA],"&lt;&gt;Renda",T_dados[CATEGORIA],"&lt;&gt;Transferência",T_dados[DATA],"&gt;="&amp;FEV_I,T_dados[DATA],"&lt;="&amp;FEV_F)+SUMIFS(T_dados[VALOR],T_dados[CONTA],H48,T_dados[CATEGORIA],"Transferência",T_dados[SUBCATEGORIA],"Saída",T_dados[DATA],"&gt;="&amp;FEV_I,T_dados[DATA],"&lt;="&amp;FEV_F)</f>
        <v>0</v>
      </c>
      <c r="J51" s="29">
        <f>Table2224[[#This Row],[ENTRADA]]-Table2224[[#This Row],[SAÍDA]]</f>
        <v>0</v>
      </c>
      <c r="K51" s="29">
        <f>K50+Table2224[[#This Row],[SALDO]]</f>
        <v>0</v>
      </c>
      <c r="L51" s="4"/>
      <c r="M51" s="24">
        <f>SUMIFS(T_dados[VALOR],T_dados[CONTA],M48,T_dados[CATEGORIA],"Renda",T_dados[CATEGORIA],"&lt;&gt;Transferência",T_dados[DATA],"&gt;="&amp;FEV_I,T_dados[DATA],"&lt;="&amp;FEV_F)+SUMIFS(T_dados[VALOR],T_dados[CONTA],M48,T_dados[CATEGORIA],"Transferência",T_dados[SUBCATEGORIA],"Entrada",T_dados[DATA],"&gt;="&amp;FEV_I,T_dados[DATA],"&lt;="&amp;FEV_F)</f>
        <v>0</v>
      </c>
      <c r="N51" s="24">
        <f>SUMIFS(T_dados[VALOR],T_dados[CONTA],M48,T_dados[CATEGORIA],"&lt;&gt;Renda",T_dados[CATEGORIA],"&lt;&gt;Transferência",T_dados[DATA],"&gt;="&amp;FEV_I,T_dados[DATA],"&lt;="&amp;FEV_F)+SUMIFS(T_dados[VALOR],T_dados[CONTA],M48,T_dados[CATEGORIA],"Transferência",T_dados[SUBCATEGORIA],"Saída",T_dados[DATA],"&gt;="&amp;FEV_I,T_dados[DATA],"&lt;="&amp;FEV_F)</f>
        <v>0</v>
      </c>
      <c r="O51" s="29">
        <f>Table2225[[#This Row],[ENTRADA]]-Table2225[[#This Row],[SAÍDA]]</f>
        <v>0</v>
      </c>
      <c r="P51" s="29">
        <f>P50+Table2225[[#This Row],[SALDO]]</f>
        <v>0</v>
      </c>
      <c r="Q51" s="4"/>
      <c r="R51" s="24">
        <f>SUMIFS(T_dados[VALOR],T_dados[CONTA],R48,T_dados[CATEGORIA],"Renda",T_dados[CATEGORIA],"&lt;&gt;Transferência",T_dados[DATA],"&gt;="&amp;FEV_I,T_dados[DATA],"&lt;="&amp;FEV_F)+SUMIFS(T_dados[VALOR],T_dados[CONTA],R48,T_dados[CATEGORIA],"Transferência",T_dados[SUBCATEGORIA],"Entrada",T_dados[DATA],"&gt;="&amp;FEV_I,T_dados[DATA],"&lt;="&amp;FEV_F)</f>
        <v>0</v>
      </c>
      <c r="S51" s="24">
        <f>SUMIFS(T_dados[VALOR],T_dados[CONTA],R48,T_dados[CATEGORIA],"&lt;&gt;Renda",T_dados[CATEGORIA],"&lt;&gt;Transferência",T_dados[DATA],"&gt;="&amp;FEV_I,T_dados[DATA],"&lt;="&amp;FEV_F)+SUMIFS(T_dados[VALOR],T_dados[CONTA],R48,T_dados[CATEGORIA],"Transferência",T_dados[SUBCATEGORIA],"Saída",T_dados[DATA],"&gt;="&amp;FEV_I,T_dados[DATA],"&lt;="&amp;FEV_F)</f>
        <v>0</v>
      </c>
      <c r="T51" s="29">
        <f>Table2226[[#This Row],[ENTRADA]]-Table2226[[#This Row],[SAÍDA]]</f>
        <v>0</v>
      </c>
      <c r="U51" s="29">
        <f>U50+Table2226[[#This Row],[SALDO]]</f>
        <v>0</v>
      </c>
      <c r="V51" s="4"/>
      <c r="W51" s="24">
        <f>SUMIFS(T_dados[VALOR],T_dados[CONTA],W48,T_dados[CATEGORIA],"Renda",T_dados[CATEGORIA],"&lt;&gt;Transferência",T_dados[DATA],"&gt;="&amp;FEV_I,T_dados[DATA],"&lt;="&amp;FEV_F)+SUMIFS(T_dados[VALOR],T_dados[CONTA],W48,T_dados[CATEGORIA],"Transferência",T_dados[SUBCATEGORIA],"Entrada",T_dados[DATA],"&gt;="&amp;FEV_I,T_dados[DATA],"&lt;="&amp;FEV_F)</f>
        <v>0</v>
      </c>
      <c r="X51" s="24">
        <f>SUMIFS(T_dados[VALOR],T_dados[CONTA],W48,T_dados[CATEGORIA],"&lt;&gt;Renda",T_dados[CATEGORIA],"&lt;&gt;Transferência",T_dados[DATA],"&gt;="&amp;FEV_I,T_dados[DATA],"&lt;="&amp;FEV_F)+SUMIFS(T_dados[VALOR],T_dados[CONTA],W48,T_dados[CATEGORIA],"Transferência",T_dados[SUBCATEGORIA],"Saída",T_dados[DATA],"&gt;="&amp;FEV_I,T_dados[DATA],"&lt;="&amp;FEV_F)</f>
        <v>0</v>
      </c>
      <c r="Y51" s="29">
        <f>Table2227[[#This Row],[ENTRADA]]-Table2227[[#This Row],[SAÍDA]]</f>
        <v>0</v>
      </c>
      <c r="Z51" s="29">
        <f>Z50+Table2227[[#This Row],[SALDO]]</f>
        <v>0</v>
      </c>
      <c r="AA51" s="4"/>
      <c r="AB51" s="24">
        <f>SUMIFS(T_dados[VALOR],T_dados[CONTA],AB48,T_dados[CATEGORIA],"Renda",T_dados[CATEGORIA],"&lt;&gt;Transferência",T_dados[DATA],"&gt;="&amp;FEV_I,T_dados[DATA],"&lt;="&amp;FEV_F)+SUMIFS(T_dados[VALOR],T_dados[CONTA],AB48,T_dados[CATEGORIA],"Transferência",T_dados[SUBCATEGORIA],"Entrada",T_dados[DATA],"&gt;="&amp;FEV_I,T_dados[DATA],"&lt;="&amp;FEV_F)</f>
        <v>0</v>
      </c>
      <c r="AC51" s="24">
        <f>SUMIFS(T_dados[VALOR],T_dados[CONTA],AB48,T_dados[CATEGORIA],"&lt;&gt;Renda",T_dados[CATEGORIA],"&lt;&gt;Transferência",T_dados[DATA],"&gt;="&amp;FEV_I,T_dados[DATA],"&lt;="&amp;FEV_F)+SUMIFS(T_dados[VALOR],T_dados[CONTA],AB48,T_dados[CATEGORIA],"Transferência",T_dados[SUBCATEGORIA],"Saída",T_dados[DATA],"&gt;="&amp;FEV_I,T_dados[DATA],"&lt;="&amp;FEV_F)</f>
        <v>0</v>
      </c>
      <c r="AD51" s="29">
        <f>Table2228[[#This Row],[ENTRADA]]-Table2228[[#This Row],[SAÍDA]]</f>
        <v>0</v>
      </c>
      <c r="AE51" s="29">
        <f>AE50+Table2228[[#This Row],[SALDO]]</f>
        <v>0</v>
      </c>
      <c r="AF51" s="4"/>
      <c r="AG51" s="24">
        <f>SUMIFS(T_dados[VALOR],T_dados[CONTA],AG48,T_dados[CATEGORIA],"Renda",T_dados[CATEGORIA],"&lt;&gt;Transferência",T_dados[DATA],"&gt;="&amp;FEV_I,T_dados[DATA],"&lt;="&amp;FEV_F)+SUMIFS(T_dados[VALOR],T_dados[CONTA],AG48,T_dados[CATEGORIA],"Transferência",T_dados[SUBCATEGORIA],"Entrada",T_dados[DATA],"&gt;="&amp;FEV_I,T_dados[DATA],"&lt;="&amp;FEV_F)</f>
        <v>0</v>
      </c>
      <c r="AH51" s="24">
        <f>SUMIFS(T_dados[VALOR],T_dados[CONTA],AG48,T_dados[CATEGORIA],"&lt;&gt;Renda",T_dados[CATEGORIA],"&lt;&gt;Transferência",T_dados[DATA],"&gt;="&amp;FEV_I,T_dados[DATA],"&lt;="&amp;FEV_F)+SUMIFS(T_dados[VALOR],T_dados[CONTA],AG48,T_dados[CATEGORIA],"Transferência",T_dados[SUBCATEGORIA],"Saída",T_dados[DATA],"&gt;="&amp;FEV_I,T_dados[DATA],"&lt;="&amp;FEV_F)</f>
        <v>0</v>
      </c>
      <c r="AI51" s="29">
        <f>Table2229[[#This Row],[ENTRADA]]-Table2229[[#This Row],[SAÍDA]]</f>
        <v>0</v>
      </c>
      <c r="AJ51" s="29">
        <f>AJ50+Table2229[[#This Row],[SALDO]]</f>
        <v>0</v>
      </c>
      <c r="AO51" s="2"/>
      <c r="AT51" s="2"/>
    </row>
    <row r="52" spans="1:47" x14ac:dyDescent="0.25">
      <c r="A52" s="3" t="s">
        <v>128</v>
      </c>
      <c r="C52" s="24">
        <f>SUMIFS(T_dados[VALOR],T_dados[CONTA],C48,T_dados[CATEGORIA],"Renda",T_dados[CATEGORIA],"&lt;&gt;Transferência",T_dados[DATA],"&gt;="&amp;MAR_I,T_dados[DATA],"&lt;="&amp;MAR_F)+SUMIFS(T_dados[VALOR],T_dados[CONTA],C48,T_dados[CATEGORIA],"Transferência",T_dados[SUBCATEGORIA],"Entrada",T_dados[DATA],"&gt;="&amp;MAR_I,T_dados[DATA],"&lt;="&amp;MAR_F)</f>
        <v>0</v>
      </c>
      <c r="D52" s="24">
        <f>SUMIFS(T_dados[VALOR],T_dados[CONTA],C48,T_dados[CATEGORIA],"&lt;&gt;Renda",T_dados[CATEGORIA],"&lt;&gt;Transferência",T_dados[DATA],"&gt;="&amp;MAR_I,T_dados[DATA],"&lt;="&amp;MAR_F)+SUMIFS(T_dados[VALOR],T_dados[CONTA],C48,T_dados[CATEGORIA],"Transferência",T_dados[SUBCATEGORIA],"Saída",T_dados[DATA],"&gt;="&amp;MAR_I,T_dados[DATA],"&lt;="&amp;MAR_F)</f>
        <v>0</v>
      </c>
      <c r="E52" s="29">
        <f>Table22[[#This Row],[ENTRADA]]-Table22[[#This Row],[SAÍDA]]</f>
        <v>0</v>
      </c>
      <c r="F52" s="29">
        <f>F51+Table22[[#This Row],[SALDO]]</f>
        <v>0</v>
      </c>
      <c r="G52" s="4"/>
      <c r="H52" s="24">
        <f>SUMIFS(T_dados[VALOR],T_dados[CONTA],H48,T_dados[CATEGORIA],"Renda",T_dados[CATEGORIA],"&lt;&gt;Transferência",T_dados[DATA],"&gt;="&amp;MAR_I,T_dados[DATA],"&lt;="&amp;MAR_F)+SUMIFS(T_dados[VALOR],T_dados[CONTA],H48,T_dados[CATEGORIA],"Transferência",T_dados[SUBCATEGORIA],"Entrada",T_dados[DATA],"&gt;="&amp;MAR_I,T_dados[DATA],"&lt;="&amp;MAR_F)</f>
        <v>0</v>
      </c>
      <c r="I52" s="24">
        <f>SUMIFS(T_dados[VALOR],T_dados[CONTA],H48,T_dados[CATEGORIA],"&lt;&gt;Renda",T_dados[CATEGORIA],"&lt;&gt;Transferência",T_dados[DATA],"&gt;="&amp;MAR_I,T_dados[DATA],"&lt;="&amp;MAR_F)+SUMIFS(T_dados[VALOR],T_dados[CONTA],H48,T_dados[CATEGORIA],"Transferência",T_dados[SUBCATEGORIA],"Saída",T_dados[DATA],"&gt;="&amp;MAR_I,T_dados[DATA],"&lt;="&amp;MAR_F)</f>
        <v>0</v>
      </c>
      <c r="J52" s="29">
        <f>Table2224[[#This Row],[ENTRADA]]-Table2224[[#This Row],[SAÍDA]]</f>
        <v>0</v>
      </c>
      <c r="K52" s="29">
        <f>K51+Table2224[[#This Row],[SALDO]]</f>
        <v>0</v>
      </c>
      <c r="L52" s="4"/>
      <c r="M52" s="24">
        <f>SUMIFS(T_dados[VALOR],T_dados[CONTA],M48,T_dados[CATEGORIA],"Renda",T_dados[CATEGORIA],"&lt;&gt;Transferência",T_dados[DATA],"&gt;="&amp;MAR_I,T_dados[DATA],"&lt;="&amp;MAR_F)+SUMIFS(T_dados[VALOR],T_dados[CONTA],M48,T_dados[CATEGORIA],"Transferência",T_dados[SUBCATEGORIA],"Entrada",T_dados[DATA],"&gt;="&amp;MAR_I,T_dados[DATA],"&lt;="&amp;MAR_F)</f>
        <v>0</v>
      </c>
      <c r="N52" s="24">
        <f>SUMIFS(T_dados[VALOR],T_dados[CONTA],M48,T_dados[CATEGORIA],"&lt;&gt;Renda",T_dados[CATEGORIA],"&lt;&gt;Transferência",T_dados[DATA],"&gt;="&amp;MAR_I,T_dados[DATA],"&lt;="&amp;MAR_F)+SUMIFS(T_dados[VALOR],T_dados[CONTA],M48,T_dados[CATEGORIA],"Transferência",T_dados[SUBCATEGORIA],"Saída",T_dados[DATA],"&gt;="&amp;MAR_I,T_dados[DATA],"&lt;="&amp;MAR_F)</f>
        <v>0</v>
      </c>
      <c r="O52" s="29">
        <f>Table2225[[#This Row],[ENTRADA]]-Table2225[[#This Row],[SAÍDA]]</f>
        <v>0</v>
      </c>
      <c r="P52" s="29">
        <f>P51+Table2225[[#This Row],[SALDO]]</f>
        <v>0</v>
      </c>
      <c r="Q52" s="4"/>
      <c r="R52" s="24">
        <f>SUMIFS(T_dados[VALOR],T_dados[CONTA],R48,T_dados[CATEGORIA],"Renda",T_dados[CATEGORIA],"&lt;&gt;Transferência",T_dados[DATA],"&gt;="&amp;MAR_I,T_dados[DATA],"&lt;="&amp;MAR_F)+SUMIFS(T_dados[VALOR],T_dados[CONTA],R48,T_dados[CATEGORIA],"Transferência",T_dados[SUBCATEGORIA],"Entrada",T_dados[DATA],"&gt;="&amp;MAR_I,T_dados[DATA],"&lt;="&amp;MAR_F)</f>
        <v>0</v>
      </c>
      <c r="S52" s="24">
        <f>SUMIFS(T_dados[VALOR],T_dados[CONTA],R48,T_dados[CATEGORIA],"&lt;&gt;Renda",T_dados[CATEGORIA],"&lt;&gt;Transferência",T_dados[DATA],"&gt;="&amp;MAR_I,T_dados[DATA],"&lt;="&amp;MAR_F)+SUMIFS(T_dados[VALOR],T_dados[CONTA],R48,T_dados[CATEGORIA],"Transferência",T_dados[SUBCATEGORIA],"Saída",T_dados[DATA],"&gt;="&amp;MAR_I,T_dados[DATA],"&lt;="&amp;MAR_F)</f>
        <v>0</v>
      </c>
      <c r="T52" s="29">
        <f>Table2226[[#This Row],[ENTRADA]]-Table2226[[#This Row],[SAÍDA]]</f>
        <v>0</v>
      </c>
      <c r="U52" s="29">
        <f>U51+Table2226[[#This Row],[SALDO]]</f>
        <v>0</v>
      </c>
      <c r="V52" s="4"/>
      <c r="W52" s="24">
        <f>SUMIFS(T_dados[VALOR],T_dados[CONTA],W48,T_dados[CATEGORIA],"Renda",T_dados[CATEGORIA],"&lt;&gt;Transferência",T_dados[DATA],"&gt;="&amp;MAR_I,T_dados[DATA],"&lt;="&amp;MAR_F)+SUMIFS(T_dados[VALOR],T_dados[CONTA],W48,T_dados[CATEGORIA],"Transferência",T_dados[SUBCATEGORIA],"Entrada",T_dados[DATA],"&gt;="&amp;MAR_I,T_dados[DATA],"&lt;="&amp;MAR_F)</f>
        <v>0</v>
      </c>
      <c r="X52" s="24">
        <f>SUMIFS(T_dados[VALOR],T_dados[CONTA],W48,T_dados[CATEGORIA],"&lt;&gt;Renda",T_dados[CATEGORIA],"&lt;&gt;Transferência",T_dados[DATA],"&gt;="&amp;MAR_I,T_dados[DATA],"&lt;="&amp;MAR_F)+SUMIFS(T_dados[VALOR],T_dados[CONTA],W48,T_dados[CATEGORIA],"Transferência",T_dados[SUBCATEGORIA],"Saída",T_dados[DATA],"&gt;="&amp;MAR_I,T_dados[DATA],"&lt;="&amp;MAR_F)</f>
        <v>0</v>
      </c>
      <c r="Y52" s="29">
        <f>Table2227[[#This Row],[ENTRADA]]-Table2227[[#This Row],[SAÍDA]]</f>
        <v>0</v>
      </c>
      <c r="Z52" s="29">
        <f>Z51+Table2227[[#This Row],[SALDO]]</f>
        <v>0</v>
      </c>
      <c r="AA52" s="4"/>
      <c r="AB52" s="24">
        <f>SUMIFS(T_dados[VALOR],T_dados[CONTA],AB48,T_dados[CATEGORIA],"Renda",T_dados[CATEGORIA],"&lt;&gt;Transferência",T_dados[DATA],"&gt;="&amp;MAR_I,T_dados[DATA],"&lt;="&amp;MAR_F)+SUMIFS(T_dados[VALOR],T_dados[CONTA],AB48,T_dados[CATEGORIA],"Transferência",T_dados[SUBCATEGORIA],"Entrada",T_dados[DATA],"&gt;="&amp;MAR_I,T_dados[DATA],"&lt;="&amp;MAR_F)</f>
        <v>0</v>
      </c>
      <c r="AC52" s="24">
        <f>SUMIFS(T_dados[VALOR],T_dados[CONTA],AB48,T_dados[CATEGORIA],"&lt;&gt;Renda",T_dados[CATEGORIA],"&lt;&gt;Transferência",T_dados[DATA],"&gt;="&amp;MAR_I,T_dados[DATA],"&lt;="&amp;MAR_F)+SUMIFS(T_dados[VALOR],T_dados[CONTA],AB48,T_dados[CATEGORIA],"Transferência",T_dados[SUBCATEGORIA],"Saída",T_dados[DATA],"&gt;="&amp;MAR_I,T_dados[DATA],"&lt;="&amp;MAR_F)</f>
        <v>0</v>
      </c>
      <c r="AD52" s="29">
        <f>Table2228[[#This Row],[ENTRADA]]-Table2228[[#This Row],[SAÍDA]]</f>
        <v>0</v>
      </c>
      <c r="AE52" s="29">
        <f>AE51+Table2228[[#This Row],[SALDO]]</f>
        <v>0</v>
      </c>
      <c r="AF52" s="4"/>
      <c r="AG52" s="24">
        <f>SUMIFS(T_dados[VALOR],T_dados[CONTA],AG48,T_dados[CATEGORIA],"Renda",T_dados[CATEGORIA],"&lt;&gt;Transferência",T_dados[DATA],"&gt;="&amp;MAR_I,T_dados[DATA],"&lt;="&amp;MAR_F)+SUMIFS(T_dados[VALOR],T_dados[CONTA],AG48,T_dados[CATEGORIA],"Transferência",T_dados[SUBCATEGORIA],"Entrada",T_dados[DATA],"&gt;="&amp;MAR_I,T_dados[DATA],"&lt;="&amp;MAR_F)</f>
        <v>0</v>
      </c>
      <c r="AH52" s="24">
        <f>SUMIFS(T_dados[VALOR],T_dados[CONTA],AG48,T_dados[CATEGORIA],"&lt;&gt;Renda",T_dados[CATEGORIA],"&lt;&gt;Transferência",T_dados[DATA],"&gt;="&amp;MAR_I,T_dados[DATA],"&lt;="&amp;MAR_F)+SUMIFS(T_dados[VALOR],T_dados[CONTA],AG48,T_dados[CATEGORIA],"Transferência",T_dados[SUBCATEGORIA],"Saída",T_dados[DATA],"&gt;="&amp;MAR_I,T_dados[DATA],"&lt;="&amp;MAR_F)</f>
        <v>0</v>
      </c>
      <c r="AI52" s="29">
        <f>Table2229[[#This Row],[ENTRADA]]-Table2229[[#This Row],[SAÍDA]]</f>
        <v>0</v>
      </c>
      <c r="AJ52" s="29">
        <f>AJ51+Table2229[[#This Row],[SALDO]]</f>
        <v>0</v>
      </c>
      <c r="AO52" s="2"/>
      <c r="AT52" s="2"/>
    </row>
    <row r="53" spans="1:47" x14ac:dyDescent="0.25">
      <c r="A53" s="3" t="s">
        <v>129</v>
      </c>
      <c r="C53" s="24">
        <f>SUMIFS(T_dados[VALOR],T_dados[CONTA],C48,T_dados[CATEGORIA],"Renda",T_dados[CATEGORIA],"&lt;&gt;Transferência",T_dados[DATA],"&gt;="&amp;ABR_I,T_dados[DATA],"&lt;="&amp;ABR_F)+SUMIFS(T_dados[VALOR],T_dados[CONTA],C48,T_dados[CATEGORIA],"Transferência",T_dados[SUBCATEGORIA],"Entrada",T_dados[DATA],"&gt;="&amp;ABR_I,T_dados[DATA],"&lt;="&amp;ABR_F)</f>
        <v>0</v>
      </c>
      <c r="D53" s="24">
        <f>SUMIFS(T_dados[VALOR],T_dados[CONTA],C48,T_dados[CATEGORIA],"&lt;&gt;Renda",T_dados[CATEGORIA],"&lt;&gt;Transferência",T_dados[DATA],"&gt;="&amp;ABR_I,T_dados[DATA],"&lt;="&amp;ABR_F)+SUMIFS(T_dados[VALOR],T_dados[CONTA],C48,T_dados[CATEGORIA],"Transferência",T_dados[SUBCATEGORIA],"Saída",T_dados[DATA],"&gt;="&amp;ABR_I,T_dados[DATA],"&lt;="&amp;ABR_F)</f>
        <v>0</v>
      </c>
      <c r="E53" s="29">
        <f>Table22[[#This Row],[ENTRADA]]-Table22[[#This Row],[SAÍDA]]</f>
        <v>0</v>
      </c>
      <c r="F53" s="29">
        <f>F52+Table22[[#This Row],[SALDO]]</f>
        <v>0</v>
      </c>
      <c r="G53" s="4"/>
      <c r="H53" s="24">
        <f>SUMIFS(T_dados[VALOR],T_dados[CONTA],H48,T_dados[CATEGORIA],"Renda",T_dados[CATEGORIA],"&lt;&gt;Transferência",T_dados[DATA],"&gt;="&amp;ABR_I,T_dados[DATA],"&lt;="&amp;ABR_F)+SUMIFS(T_dados[VALOR],T_dados[CONTA],H48,T_dados[CATEGORIA],"Transferência",T_dados[SUBCATEGORIA],"Entrada",T_dados[DATA],"&gt;="&amp;ABR_I,T_dados[DATA],"&lt;="&amp;ABR_F)</f>
        <v>0</v>
      </c>
      <c r="I53" s="24">
        <f>SUMIFS(T_dados[VALOR],T_dados[CONTA],H48,T_dados[CATEGORIA],"&lt;&gt;Renda",T_dados[CATEGORIA],"&lt;&gt;Transferência",T_dados[DATA],"&gt;="&amp;ABR_I,T_dados[DATA],"&lt;="&amp;ABR_F)+SUMIFS(T_dados[VALOR],T_dados[CONTA],H48,T_dados[CATEGORIA],"Transferência",T_dados[SUBCATEGORIA],"Saída",T_dados[DATA],"&gt;="&amp;ABR_I,T_dados[DATA],"&lt;="&amp;ABR_F)</f>
        <v>0</v>
      </c>
      <c r="J53" s="29">
        <f>Table2224[[#This Row],[ENTRADA]]-Table2224[[#This Row],[SAÍDA]]</f>
        <v>0</v>
      </c>
      <c r="K53" s="29">
        <f>K52+Table2224[[#This Row],[SALDO]]</f>
        <v>0</v>
      </c>
      <c r="L53" s="4"/>
      <c r="M53" s="24">
        <f>SUMIFS(T_dados[VALOR],T_dados[CONTA],M48,T_dados[CATEGORIA],"Renda",T_dados[CATEGORIA],"&lt;&gt;Transferência",T_dados[DATA],"&gt;="&amp;ABR_I,T_dados[DATA],"&lt;="&amp;ABR_F)+SUMIFS(T_dados[VALOR],T_dados[CONTA],M48,T_dados[CATEGORIA],"Transferência",T_dados[SUBCATEGORIA],"Entrada",T_dados[DATA],"&gt;="&amp;ABR_I,T_dados[DATA],"&lt;="&amp;ABR_F)</f>
        <v>0</v>
      </c>
      <c r="N53" s="24">
        <f>SUMIFS(T_dados[VALOR],T_dados[CONTA],M48,T_dados[CATEGORIA],"&lt;&gt;Renda",T_dados[CATEGORIA],"&lt;&gt;Transferência",T_dados[DATA],"&gt;="&amp;ABR_I,T_dados[DATA],"&lt;="&amp;ABR_F)+SUMIFS(T_dados[VALOR],T_dados[CONTA],M48,T_dados[CATEGORIA],"Transferência",T_dados[SUBCATEGORIA],"Saída",T_dados[DATA],"&gt;="&amp;ABR_I,T_dados[DATA],"&lt;="&amp;ABR_F)</f>
        <v>0</v>
      </c>
      <c r="O53" s="29">
        <f>Table2225[[#This Row],[ENTRADA]]-Table2225[[#This Row],[SAÍDA]]</f>
        <v>0</v>
      </c>
      <c r="P53" s="29">
        <f>P52+Table2225[[#This Row],[SALDO]]</f>
        <v>0</v>
      </c>
      <c r="Q53" s="4"/>
      <c r="R53" s="24">
        <f>SUMIFS(T_dados[VALOR],T_dados[CONTA],R48,T_dados[CATEGORIA],"Renda",T_dados[CATEGORIA],"&lt;&gt;Transferência",T_dados[DATA],"&gt;="&amp;ABR_I,T_dados[DATA],"&lt;="&amp;ABR_F)+SUMIFS(T_dados[VALOR],T_dados[CONTA],R48,T_dados[CATEGORIA],"Transferência",T_dados[SUBCATEGORIA],"Entrada",T_dados[DATA],"&gt;="&amp;ABR_I,T_dados[DATA],"&lt;="&amp;ABR_F)</f>
        <v>0</v>
      </c>
      <c r="S53" s="24">
        <f>SUMIFS(T_dados[VALOR],T_dados[CONTA],R48,T_dados[CATEGORIA],"&lt;&gt;Renda",T_dados[CATEGORIA],"&lt;&gt;Transferência",T_dados[DATA],"&gt;="&amp;ABR_I,T_dados[DATA],"&lt;="&amp;ABR_F)+SUMIFS(T_dados[VALOR],T_dados[CONTA],R48,T_dados[CATEGORIA],"Transferência",T_dados[SUBCATEGORIA],"Saída",T_dados[DATA],"&gt;="&amp;ABR_I,T_dados[DATA],"&lt;="&amp;ABR_F)</f>
        <v>0</v>
      </c>
      <c r="T53" s="29">
        <f>Table2226[[#This Row],[ENTRADA]]-Table2226[[#This Row],[SAÍDA]]</f>
        <v>0</v>
      </c>
      <c r="U53" s="29">
        <f>U52+Table2226[[#This Row],[SALDO]]</f>
        <v>0</v>
      </c>
      <c r="V53" s="4"/>
      <c r="W53" s="24">
        <f>SUMIFS(T_dados[VALOR],T_dados[CONTA],W48,T_dados[CATEGORIA],"Renda",T_dados[CATEGORIA],"&lt;&gt;Transferência",T_dados[DATA],"&gt;="&amp;ABR_I,T_dados[DATA],"&lt;="&amp;ABR_F)+SUMIFS(T_dados[VALOR],T_dados[CONTA],W48,T_dados[CATEGORIA],"Transferência",T_dados[SUBCATEGORIA],"Entrada",T_dados[DATA],"&gt;="&amp;ABR_I,T_dados[DATA],"&lt;="&amp;ABR_F)</f>
        <v>0</v>
      </c>
      <c r="X53" s="24">
        <f>SUMIFS(T_dados[VALOR],T_dados[CONTA],W48,T_dados[CATEGORIA],"&lt;&gt;Renda",T_dados[CATEGORIA],"&lt;&gt;Transferência",T_dados[DATA],"&gt;="&amp;ABR_I,T_dados[DATA],"&lt;="&amp;ABR_F)+SUMIFS(T_dados[VALOR],T_dados[CONTA],W48,T_dados[CATEGORIA],"Transferência",T_dados[SUBCATEGORIA],"Saída",T_dados[DATA],"&gt;="&amp;ABR_I,T_dados[DATA],"&lt;="&amp;ABR_F)</f>
        <v>0</v>
      </c>
      <c r="Y53" s="29">
        <f>Table2227[[#This Row],[ENTRADA]]-Table2227[[#This Row],[SAÍDA]]</f>
        <v>0</v>
      </c>
      <c r="Z53" s="29">
        <f>Z52+Table2227[[#This Row],[SALDO]]</f>
        <v>0</v>
      </c>
      <c r="AA53" s="4"/>
      <c r="AB53" s="24">
        <f>SUMIFS(T_dados[VALOR],T_dados[CONTA],AB48,T_dados[CATEGORIA],"Renda",T_dados[CATEGORIA],"&lt;&gt;Transferência",T_dados[DATA],"&gt;="&amp;ABR_I,T_dados[DATA],"&lt;="&amp;ABR_F)+SUMIFS(T_dados[VALOR],T_dados[CONTA],AB48,T_dados[CATEGORIA],"Transferência",T_dados[SUBCATEGORIA],"Entrada",T_dados[DATA],"&gt;="&amp;ABR_I,T_dados[DATA],"&lt;="&amp;ABR_F)</f>
        <v>0</v>
      </c>
      <c r="AC53" s="24">
        <f>SUMIFS(T_dados[VALOR],T_dados[CONTA],AB48,T_dados[CATEGORIA],"&lt;&gt;Renda",T_dados[CATEGORIA],"&lt;&gt;Transferência",T_dados[DATA],"&gt;="&amp;ABR_I,T_dados[DATA],"&lt;="&amp;ABR_F)+SUMIFS(T_dados[VALOR],T_dados[CONTA],AB48,T_dados[CATEGORIA],"Transferência",T_dados[SUBCATEGORIA],"Saída",T_dados[DATA],"&gt;="&amp;ABR_I,T_dados[DATA],"&lt;="&amp;ABR_F)</f>
        <v>0</v>
      </c>
      <c r="AD53" s="29">
        <f>Table2228[[#This Row],[ENTRADA]]-Table2228[[#This Row],[SAÍDA]]</f>
        <v>0</v>
      </c>
      <c r="AE53" s="29">
        <f>AE52+Table2228[[#This Row],[SALDO]]</f>
        <v>0</v>
      </c>
      <c r="AF53" s="4"/>
      <c r="AG53" s="24">
        <f>SUMIFS(T_dados[VALOR],T_dados[CONTA],AG48,T_dados[CATEGORIA],"Renda",T_dados[CATEGORIA],"&lt;&gt;Transferência",T_dados[DATA],"&gt;="&amp;ABR_I,T_dados[DATA],"&lt;="&amp;ABR_F)+SUMIFS(T_dados[VALOR],T_dados[CONTA],AG48,T_dados[CATEGORIA],"Transferência",T_dados[SUBCATEGORIA],"Entrada",T_dados[DATA],"&gt;="&amp;ABR_I,T_dados[DATA],"&lt;="&amp;ABR_F)</f>
        <v>0</v>
      </c>
      <c r="AH53" s="24">
        <f>SUMIFS(T_dados[VALOR],T_dados[CONTA],AG48,T_dados[CATEGORIA],"&lt;&gt;Renda",T_dados[CATEGORIA],"&lt;&gt;Transferência",T_dados[DATA],"&gt;="&amp;ABR_I,T_dados[DATA],"&lt;="&amp;ABR_F)+SUMIFS(T_dados[VALOR],T_dados[CONTA],AG48,T_dados[CATEGORIA],"Transferência",T_dados[SUBCATEGORIA],"Saída",T_dados[DATA],"&gt;="&amp;ABR_I,T_dados[DATA],"&lt;="&amp;ABR_F)</f>
        <v>0</v>
      </c>
      <c r="AI53" s="29">
        <f>Table2229[[#This Row],[ENTRADA]]-Table2229[[#This Row],[SAÍDA]]</f>
        <v>0</v>
      </c>
      <c r="AJ53" s="29">
        <f>AJ52+Table2229[[#This Row],[SALDO]]</f>
        <v>0</v>
      </c>
      <c r="AO53" s="2"/>
      <c r="AT53" s="2"/>
    </row>
    <row r="54" spans="1:47" x14ac:dyDescent="0.25">
      <c r="A54" s="3" t="s">
        <v>130</v>
      </c>
      <c r="C54" s="24">
        <f>SUMIFS(T_dados[VALOR],T_dados[CONTA],C48,T_dados[CATEGORIA],"Renda",T_dados[CATEGORIA],"&lt;&gt;Transferência",T_dados[DATA],"&gt;="&amp;MAI_I,T_dados[DATA],"&lt;="&amp;MAI_F)+SUMIFS(T_dados[VALOR],T_dados[CONTA],C48,T_dados[CATEGORIA],"Transferência",T_dados[SUBCATEGORIA],"Entrada",T_dados[DATA],"&gt;="&amp;MAI_I,T_dados[DATA],"&lt;="&amp;MAI_F)</f>
        <v>0</v>
      </c>
      <c r="D54" s="24">
        <f>SUMIFS(T_dados[VALOR],T_dados[CONTA],C48,T_dados[CATEGORIA],"&lt;&gt;Renda",T_dados[CATEGORIA],"&lt;&gt;Transferência",T_dados[DATA],"&gt;="&amp;MAI_I,T_dados[DATA],"&lt;="&amp;MAI_F)+SUMIFS(T_dados[VALOR],T_dados[CONTA],C48,T_dados[CATEGORIA],"Transferência",T_dados[SUBCATEGORIA],"Saída",T_dados[DATA],"&gt;="&amp;MAI_I,T_dados[DATA],"&lt;="&amp;MAI_F)</f>
        <v>0</v>
      </c>
      <c r="E54" s="29">
        <f>Table22[[#This Row],[ENTRADA]]-Table22[[#This Row],[SAÍDA]]</f>
        <v>0</v>
      </c>
      <c r="F54" s="29">
        <f>F53+Table22[[#This Row],[SALDO]]</f>
        <v>0</v>
      </c>
      <c r="G54" s="4"/>
      <c r="H54" s="24">
        <f>SUMIFS(T_dados[VALOR],T_dados[CONTA],H48,T_dados[CATEGORIA],"Renda",T_dados[CATEGORIA],"&lt;&gt;Transferência",T_dados[DATA],"&gt;="&amp;MAI_I,T_dados[DATA],"&lt;="&amp;MAI_F)+SUMIFS(T_dados[VALOR],T_dados[CONTA],H48,T_dados[CATEGORIA],"Transferência",T_dados[SUBCATEGORIA],"Entrada",T_dados[DATA],"&gt;="&amp;MAI_I,T_dados[DATA],"&lt;="&amp;MAI_F)</f>
        <v>0</v>
      </c>
      <c r="I54" s="24">
        <f>SUMIFS(T_dados[VALOR],T_dados[CONTA],H48,T_dados[CATEGORIA],"&lt;&gt;Renda",T_dados[CATEGORIA],"&lt;&gt;Transferência",T_dados[DATA],"&gt;="&amp;MAI_I,T_dados[DATA],"&lt;="&amp;MAI_F)+SUMIFS(T_dados[VALOR],T_dados[CONTA],H48,T_dados[CATEGORIA],"Transferência",T_dados[SUBCATEGORIA],"Saída",T_dados[DATA],"&gt;="&amp;MAI_I,T_dados[DATA],"&lt;="&amp;MAI_F)</f>
        <v>0</v>
      </c>
      <c r="J54" s="29">
        <f>Table2224[[#This Row],[ENTRADA]]-Table2224[[#This Row],[SAÍDA]]</f>
        <v>0</v>
      </c>
      <c r="K54" s="29">
        <f>K53+Table2224[[#This Row],[SALDO]]</f>
        <v>0</v>
      </c>
      <c r="L54" s="4"/>
      <c r="M54" s="24">
        <f>SUMIFS(T_dados[VALOR],T_dados[CONTA],M48,T_dados[CATEGORIA],"Renda",T_dados[CATEGORIA],"&lt;&gt;Transferência",T_dados[DATA],"&gt;="&amp;MAI_I,T_dados[DATA],"&lt;="&amp;MAI_F)+SUMIFS(T_dados[VALOR],T_dados[CONTA],M48,T_dados[CATEGORIA],"Transferência",T_dados[SUBCATEGORIA],"Entrada",T_dados[DATA],"&gt;="&amp;MAI_I,T_dados[DATA],"&lt;="&amp;MAI_F)</f>
        <v>0</v>
      </c>
      <c r="N54" s="24">
        <f>SUMIFS(T_dados[VALOR],T_dados[CONTA],M48,T_dados[CATEGORIA],"&lt;&gt;Renda",T_dados[CATEGORIA],"&lt;&gt;Transferência",T_dados[DATA],"&gt;="&amp;MAI_I,T_dados[DATA],"&lt;="&amp;MAI_F)+SUMIFS(T_dados[VALOR],T_dados[CONTA],M48,T_dados[CATEGORIA],"Transferência",T_dados[SUBCATEGORIA],"Saída",T_dados[DATA],"&gt;="&amp;MAI_I,T_dados[DATA],"&lt;="&amp;MAI_F)</f>
        <v>0</v>
      </c>
      <c r="O54" s="29">
        <f>Table2225[[#This Row],[ENTRADA]]-Table2225[[#This Row],[SAÍDA]]</f>
        <v>0</v>
      </c>
      <c r="P54" s="29">
        <f>P53+Table2225[[#This Row],[SALDO]]</f>
        <v>0</v>
      </c>
      <c r="Q54" s="4"/>
      <c r="R54" s="24">
        <f>SUMIFS(T_dados[VALOR],T_dados[CONTA],R48,T_dados[CATEGORIA],"Renda",T_dados[CATEGORIA],"&lt;&gt;Transferência",T_dados[DATA],"&gt;="&amp;MAI_I,T_dados[DATA],"&lt;="&amp;MAI_F)+SUMIFS(T_dados[VALOR],T_dados[CONTA],R48,T_dados[CATEGORIA],"Transferência",T_dados[SUBCATEGORIA],"Entrada",T_dados[DATA],"&gt;="&amp;MAI_I,T_dados[DATA],"&lt;="&amp;MAI_F)</f>
        <v>0</v>
      </c>
      <c r="S54" s="24">
        <f>SUMIFS(T_dados[VALOR],T_dados[CONTA],R48,T_dados[CATEGORIA],"&lt;&gt;Renda",T_dados[CATEGORIA],"&lt;&gt;Transferência",T_dados[DATA],"&gt;="&amp;MAI_I,T_dados[DATA],"&lt;="&amp;MAI_F)+SUMIFS(T_dados[VALOR],T_dados[CONTA],R48,T_dados[CATEGORIA],"Transferência",T_dados[SUBCATEGORIA],"Saída",T_dados[DATA],"&gt;="&amp;MAI_I,T_dados[DATA],"&lt;="&amp;MAI_F)</f>
        <v>0</v>
      </c>
      <c r="T54" s="29">
        <f>Table2226[[#This Row],[ENTRADA]]-Table2226[[#This Row],[SAÍDA]]</f>
        <v>0</v>
      </c>
      <c r="U54" s="29">
        <f>U53+Table2226[[#This Row],[SALDO]]</f>
        <v>0</v>
      </c>
      <c r="V54" s="4"/>
      <c r="W54" s="24">
        <f>SUMIFS(T_dados[VALOR],T_dados[CONTA],W48,T_dados[CATEGORIA],"Renda",T_dados[CATEGORIA],"&lt;&gt;Transferência",T_dados[DATA],"&gt;="&amp;MAI_I,T_dados[DATA],"&lt;="&amp;MAI_F)+SUMIFS(T_dados[VALOR],T_dados[CONTA],W48,T_dados[CATEGORIA],"Transferência",T_dados[SUBCATEGORIA],"Entrada",T_dados[DATA],"&gt;="&amp;MAI_I,T_dados[DATA],"&lt;="&amp;MAI_F)</f>
        <v>0</v>
      </c>
      <c r="X54" s="24">
        <f>SUMIFS(T_dados[VALOR],T_dados[CONTA],W48,T_dados[CATEGORIA],"&lt;&gt;Renda",T_dados[CATEGORIA],"&lt;&gt;Transferência",T_dados[DATA],"&gt;="&amp;MAI_I,T_dados[DATA],"&lt;="&amp;MAI_F)+SUMIFS(T_dados[VALOR],T_dados[CONTA],W48,T_dados[CATEGORIA],"Transferência",T_dados[SUBCATEGORIA],"Saída",T_dados[DATA],"&gt;="&amp;MAI_I,T_dados[DATA],"&lt;="&amp;MAI_F)</f>
        <v>0</v>
      </c>
      <c r="Y54" s="29">
        <f>Table2227[[#This Row],[ENTRADA]]-Table2227[[#This Row],[SAÍDA]]</f>
        <v>0</v>
      </c>
      <c r="Z54" s="29">
        <f>Z53+Table2227[[#This Row],[SALDO]]</f>
        <v>0</v>
      </c>
      <c r="AA54" s="4"/>
      <c r="AB54" s="24">
        <f>SUMIFS(T_dados[VALOR],T_dados[CONTA],AB48,T_dados[CATEGORIA],"Renda",T_dados[CATEGORIA],"&lt;&gt;Transferência",T_dados[DATA],"&gt;="&amp;MAI_I,T_dados[DATA],"&lt;="&amp;MAI_F)+SUMIFS(T_dados[VALOR],T_dados[CONTA],AB48,T_dados[CATEGORIA],"Transferência",T_dados[SUBCATEGORIA],"Entrada",T_dados[DATA],"&gt;="&amp;MAI_I,T_dados[DATA],"&lt;="&amp;MAI_F)</f>
        <v>0</v>
      </c>
      <c r="AC54" s="24">
        <f>SUMIFS(T_dados[VALOR],T_dados[CONTA],AB48,T_dados[CATEGORIA],"&lt;&gt;Renda",T_dados[CATEGORIA],"&lt;&gt;Transferência",T_dados[DATA],"&gt;="&amp;MAI_I,T_dados[DATA],"&lt;="&amp;MAI_F)+SUMIFS(T_dados[VALOR],T_dados[CONTA],AB48,T_dados[CATEGORIA],"Transferência",T_dados[SUBCATEGORIA],"Saída",T_dados[DATA],"&gt;="&amp;MAI_I,T_dados[DATA],"&lt;="&amp;MAI_F)</f>
        <v>0</v>
      </c>
      <c r="AD54" s="29">
        <f>Table2228[[#This Row],[ENTRADA]]-Table2228[[#This Row],[SAÍDA]]</f>
        <v>0</v>
      </c>
      <c r="AE54" s="29">
        <f>AE53+Table2228[[#This Row],[SALDO]]</f>
        <v>0</v>
      </c>
      <c r="AF54" s="4"/>
      <c r="AG54" s="24">
        <f>SUMIFS(T_dados[VALOR],T_dados[CONTA],AG48,T_dados[CATEGORIA],"Renda",T_dados[CATEGORIA],"&lt;&gt;Transferência",T_dados[DATA],"&gt;="&amp;MAI_I,T_dados[DATA],"&lt;="&amp;MAI_F)+SUMIFS(T_dados[VALOR],T_dados[CONTA],AG48,T_dados[CATEGORIA],"Transferência",T_dados[SUBCATEGORIA],"Entrada",T_dados[DATA],"&gt;="&amp;MAI_I,T_dados[DATA],"&lt;="&amp;MAI_F)</f>
        <v>0</v>
      </c>
      <c r="AH54" s="24">
        <f>SUMIFS(T_dados[VALOR],T_dados[CONTA],AG48,T_dados[CATEGORIA],"&lt;&gt;Renda",T_dados[CATEGORIA],"&lt;&gt;Transferência",T_dados[DATA],"&gt;="&amp;MAI_I,T_dados[DATA],"&lt;="&amp;MAI_F)+SUMIFS(T_dados[VALOR],T_dados[CONTA],AG48,T_dados[CATEGORIA],"Transferência",T_dados[SUBCATEGORIA],"Saída",T_dados[DATA],"&gt;="&amp;MAI_I,T_dados[DATA],"&lt;="&amp;MAI_F)</f>
        <v>0</v>
      </c>
      <c r="AI54" s="29">
        <f>Table2229[[#This Row],[ENTRADA]]-Table2229[[#This Row],[SAÍDA]]</f>
        <v>0</v>
      </c>
      <c r="AJ54" s="29">
        <f>AJ53+Table2229[[#This Row],[SALDO]]</f>
        <v>0</v>
      </c>
      <c r="AO54" s="2"/>
      <c r="AT54" s="2"/>
    </row>
    <row r="55" spans="1:47" x14ac:dyDescent="0.25">
      <c r="A55" s="3" t="s">
        <v>131</v>
      </c>
      <c r="C55" s="24">
        <f>SUMIFS(T_dados[VALOR],T_dados[CONTA],C48,T_dados[CATEGORIA],"Renda",T_dados[CATEGORIA],"&lt;&gt;Transferência",T_dados[DATA],"&gt;="&amp;JUN_I,T_dados[DATA],"&lt;="&amp;JUN_F)+SUMIFS(T_dados[VALOR],T_dados[CONTA],C48,T_dados[CATEGORIA],"Transferência",T_dados[SUBCATEGORIA],"Entrada",T_dados[DATA],"&gt;="&amp;JUN_I,T_dados[DATA],"&lt;="&amp;JUN_F)</f>
        <v>0</v>
      </c>
      <c r="D55" s="24">
        <f>SUMIFS(T_dados[VALOR],T_dados[CONTA],C48,T_dados[CATEGORIA],"&lt;&gt;Renda",T_dados[CATEGORIA],"&lt;&gt;Transferência",T_dados[DATA],"&gt;="&amp;JUN_I,T_dados[DATA],"&lt;="&amp;JUN_F)+SUMIFS(T_dados[VALOR],T_dados[CONTA],C48,T_dados[CATEGORIA],"Transferência",T_dados[SUBCATEGORIA],"Saída",T_dados[DATA],"&gt;="&amp;JUN_I,T_dados[DATA],"&lt;="&amp;JUN_F)</f>
        <v>0</v>
      </c>
      <c r="E55" s="29">
        <f>Table22[[#This Row],[ENTRADA]]-Table22[[#This Row],[SAÍDA]]</f>
        <v>0</v>
      </c>
      <c r="F55" s="29">
        <f>F54+Table22[[#This Row],[SALDO]]</f>
        <v>0</v>
      </c>
      <c r="G55" s="4"/>
      <c r="H55" s="24">
        <f>SUMIFS(T_dados[VALOR],T_dados[CONTA],H48,T_dados[CATEGORIA],"Renda",T_dados[CATEGORIA],"&lt;&gt;Transferência",T_dados[DATA],"&gt;="&amp;JUN_I,T_dados[DATA],"&lt;="&amp;JUN_F)+SUMIFS(T_dados[VALOR],T_dados[CONTA],H48,T_dados[CATEGORIA],"Transferência",T_dados[SUBCATEGORIA],"Entrada",T_dados[DATA],"&gt;="&amp;JUN_I,T_dados[DATA],"&lt;="&amp;JUN_F)</f>
        <v>0</v>
      </c>
      <c r="I55" s="24">
        <f>SUMIFS(T_dados[VALOR],T_dados[CONTA],H48,T_dados[CATEGORIA],"&lt;&gt;Renda",T_dados[CATEGORIA],"&lt;&gt;Transferência",T_dados[DATA],"&gt;="&amp;JUN_I,T_dados[DATA],"&lt;="&amp;JUN_F)+SUMIFS(T_dados[VALOR],T_dados[CONTA],H48,T_dados[CATEGORIA],"Transferência",T_dados[SUBCATEGORIA],"Saída",T_dados[DATA],"&gt;="&amp;JUN_I,T_dados[DATA],"&lt;="&amp;JUN_F)</f>
        <v>0</v>
      </c>
      <c r="J55" s="29">
        <f>Table2224[[#This Row],[ENTRADA]]-Table2224[[#This Row],[SAÍDA]]</f>
        <v>0</v>
      </c>
      <c r="K55" s="29">
        <f>K54+Table2224[[#This Row],[SALDO]]</f>
        <v>0</v>
      </c>
      <c r="L55" s="4"/>
      <c r="M55" s="24">
        <f>SUMIFS(T_dados[VALOR],T_dados[CONTA],M48,T_dados[CATEGORIA],"Renda",T_dados[CATEGORIA],"&lt;&gt;Transferência",T_dados[DATA],"&gt;="&amp;JUN_I,T_dados[DATA],"&lt;="&amp;JUN_F)+SUMIFS(T_dados[VALOR],T_dados[CONTA],M48,T_dados[CATEGORIA],"Transferência",T_dados[SUBCATEGORIA],"Entrada",T_dados[DATA],"&gt;="&amp;JUN_I,T_dados[DATA],"&lt;="&amp;JUN_F)</f>
        <v>0</v>
      </c>
      <c r="N55" s="24">
        <f>SUMIFS(T_dados[VALOR],T_dados[CONTA],M48,T_dados[CATEGORIA],"&lt;&gt;Renda",T_dados[CATEGORIA],"&lt;&gt;Transferência",T_dados[DATA],"&gt;="&amp;JUN_I,T_dados[DATA],"&lt;="&amp;JUN_F)+SUMIFS(T_dados[VALOR],T_dados[CONTA],M48,T_dados[CATEGORIA],"Transferência",T_dados[SUBCATEGORIA],"Saída",T_dados[DATA],"&gt;="&amp;JUN_I,T_dados[DATA],"&lt;="&amp;JUN_F)</f>
        <v>0</v>
      </c>
      <c r="O55" s="29">
        <f>Table2225[[#This Row],[ENTRADA]]-Table2225[[#This Row],[SAÍDA]]</f>
        <v>0</v>
      </c>
      <c r="P55" s="29">
        <f>P54+Table2225[[#This Row],[SALDO]]</f>
        <v>0</v>
      </c>
      <c r="Q55" s="4"/>
      <c r="R55" s="24">
        <f>SUMIFS(T_dados[VALOR],T_dados[CONTA],R48,T_dados[CATEGORIA],"Renda",T_dados[CATEGORIA],"&lt;&gt;Transferência",T_dados[DATA],"&gt;="&amp;JUN_I,T_dados[DATA],"&lt;="&amp;JUN_F)+SUMIFS(T_dados[VALOR],T_dados[CONTA],R48,T_dados[CATEGORIA],"Transferência",T_dados[SUBCATEGORIA],"Entrada",T_dados[DATA],"&gt;="&amp;JUN_I,T_dados[DATA],"&lt;="&amp;JUN_F)</f>
        <v>0</v>
      </c>
      <c r="S55" s="24">
        <f>SUMIFS(T_dados[VALOR],T_dados[CONTA],R48,T_dados[CATEGORIA],"&lt;&gt;Renda",T_dados[CATEGORIA],"&lt;&gt;Transferência",T_dados[DATA],"&gt;="&amp;JUN_I,T_dados[DATA],"&lt;="&amp;JUN_F)+SUMIFS(T_dados[VALOR],T_dados[CONTA],R48,T_dados[CATEGORIA],"Transferência",T_dados[SUBCATEGORIA],"Saída",T_dados[DATA],"&gt;="&amp;JUN_I,T_dados[DATA],"&lt;="&amp;JUN_F)</f>
        <v>0</v>
      </c>
      <c r="T55" s="29">
        <f>Table2226[[#This Row],[ENTRADA]]-Table2226[[#This Row],[SAÍDA]]</f>
        <v>0</v>
      </c>
      <c r="U55" s="29">
        <f>U54+Table2226[[#This Row],[SALDO]]</f>
        <v>0</v>
      </c>
      <c r="V55" s="4"/>
      <c r="W55" s="24">
        <f>SUMIFS(T_dados[VALOR],T_dados[CONTA],W48,T_dados[CATEGORIA],"Renda",T_dados[CATEGORIA],"&lt;&gt;Transferência",T_dados[DATA],"&gt;="&amp;JUN_I,T_dados[DATA],"&lt;="&amp;JUN_F)+SUMIFS(T_dados[VALOR],T_dados[CONTA],W48,T_dados[CATEGORIA],"Transferência",T_dados[SUBCATEGORIA],"Entrada",T_dados[DATA],"&gt;="&amp;JUN_I,T_dados[DATA],"&lt;="&amp;JUN_F)</f>
        <v>0</v>
      </c>
      <c r="X55" s="24">
        <f>SUMIFS(T_dados[VALOR],T_dados[CONTA],W48,T_dados[CATEGORIA],"&lt;&gt;Renda",T_dados[CATEGORIA],"&lt;&gt;Transferência",T_dados[DATA],"&gt;="&amp;JUN_I,T_dados[DATA],"&lt;="&amp;JUN_F)+SUMIFS(T_dados[VALOR],T_dados[CONTA],W48,T_dados[CATEGORIA],"Transferência",T_dados[SUBCATEGORIA],"Saída",T_dados[DATA],"&gt;="&amp;JUN_I,T_dados[DATA],"&lt;="&amp;JUN_F)</f>
        <v>0</v>
      </c>
      <c r="Y55" s="29">
        <f>Table2227[[#This Row],[ENTRADA]]-Table2227[[#This Row],[SAÍDA]]</f>
        <v>0</v>
      </c>
      <c r="Z55" s="29">
        <f>Z54+Table2227[[#This Row],[SALDO]]</f>
        <v>0</v>
      </c>
      <c r="AA55" s="4"/>
      <c r="AB55" s="24">
        <f>SUMIFS(T_dados[VALOR],T_dados[CONTA],AB48,T_dados[CATEGORIA],"Renda",T_dados[CATEGORIA],"&lt;&gt;Transferência",T_dados[DATA],"&gt;="&amp;JUN_I,T_dados[DATA],"&lt;="&amp;JUN_F)+SUMIFS(T_dados[VALOR],T_dados[CONTA],AB48,T_dados[CATEGORIA],"Transferência",T_dados[SUBCATEGORIA],"Entrada",T_dados[DATA],"&gt;="&amp;JUN_I,T_dados[DATA],"&lt;="&amp;JUN_F)</f>
        <v>0</v>
      </c>
      <c r="AC55" s="24">
        <f>SUMIFS(T_dados[VALOR],T_dados[CONTA],AB48,T_dados[CATEGORIA],"&lt;&gt;Renda",T_dados[CATEGORIA],"&lt;&gt;Transferência",T_dados[DATA],"&gt;="&amp;JUN_I,T_dados[DATA],"&lt;="&amp;JUN_F)+SUMIFS(T_dados[VALOR],T_dados[CONTA],AB48,T_dados[CATEGORIA],"Transferência",T_dados[SUBCATEGORIA],"Saída",T_dados[DATA],"&gt;="&amp;JUN_I,T_dados[DATA],"&lt;="&amp;JUN_F)</f>
        <v>0</v>
      </c>
      <c r="AD55" s="29">
        <f>Table2228[[#This Row],[ENTRADA]]-Table2228[[#This Row],[SAÍDA]]</f>
        <v>0</v>
      </c>
      <c r="AE55" s="29">
        <f>AE54+Table2228[[#This Row],[SALDO]]</f>
        <v>0</v>
      </c>
      <c r="AF55" s="4"/>
      <c r="AG55" s="24">
        <f>SUMIFS(T_dados[VALOR],T_dados[CONTA],AG48,T_dados[CATEGORIA],"Renda",T_dados[CATEGORIA],"&lt;&gt;Transferência",T_dados[DATA],"&gt;="&amp;JUN_I,T_dados[DATA],"&lt;="&amp;JUN_F)+SUMIFS(T_dados[VALOR],T_dados[CONTA],AG48,T_dados[CATEGORIA],"Transferência",T_dados[SUBCATEGORIA],"Entrada",T_dados[DATA],"&gt;="&amp;JUN_I,T_dados[DATA],"&lt;="&amp;JUN_F)</f>
        <v>0</v>
      </c>
      <c r="AH55" s="24">
        <f>SUMIFS(T_dados[VALOR],T_dados[CONTA],AG48,T_dados[CATEGORIA],"&lt;&gt;Renda",T_dados[CATEGORIA],"&lt;&gt;Transferência",T_dados[DATA],"&gt;="&amp;JUN_I,T_dados[DATA],"&lt;="&amp;JUN_F)+SUMIFS(T_dados[VALOR],T_dados[CONTA],AG48,T_dados[CATEGORIA],"Transferência",T_dados[SUBCATEGORIA],"Saída",T_dados[DATA],"&gt;="&amp;JUN_I,T_dados[DATA],"&lt;="&amp;JUN_F)</f>
        <v>0</v>
      </c>
      <c r="AI55" s="29">
        <f>Table2229[[#This Row],[ENTRADA]]-Table2229[[#This Row],[SAÍDA]]</f>
        <v>0</v>
      </c>
      <c r="AJ55" s="29">
        <f>AJ54+Table2229[[#This Row],[SALDO]]</f>
        <v>0</v>
      </c>
      <c r="AO55" s="2"/>
      <c r="AT55" s="2"/>
    </row>
    <row r="56" spans="1:47" x14ac:dyDescent="0.25">
      <c r="A56" s="3" t="s">
        <v>132</v>
      </c>
      <c r="C56" s="24">
        <f>SUMIFS(T_dados[VALOR],T_dados[CONTA],C48,T_dados[CATEGORIA],"Renda",T_dados[CATEGORIA],"&lt;&gt;Transferência",T_dados[DATA],"&gt;="&amp;JUL_I,T_dados[DATA],"&lt;="&amp;JUL_F)+SUMIFS(T_dados[VALOR],T_dados[CONTA],C48,T_dados[CATEGORIA],"Transferência",T_dados[SUBCATEGORIA],"Entrada",T_dados[DATA],"&gt;="&amp;JUL_I,T_dados[DATA],"&lt;="&amp;JUL_F)</f>
        <v>0</v>
      </c>
      <c r="D56" s="24">
        <f>SUMIFS(T_dados[VALOR],T_dados[CONTA],C48,T_dados[CATEGORIA],"&lt;&gt;Renda",T_dados[CATEGORIA],"&lt;&gt;Transferência",T_dados[DATA],"&gt;="&amp;JUL_I,T_dados[DATA],"&lt;="&amp;JUL_F)+SUMIFS(T_dados[VALOR],T_dados[CONTA],C48,T_dados[CATEGORIA],"Transferência",T_dados[SUBCATEGORIA],"Saída",T_dados[DATA],"&gt;="&amp;JUL_I,T_dados[DATA],"&lt;="&amp;JUL_F)</f>
        <v>0</v>
      </c>
      <c r="E56" s="29">
        <f>Table22[[#This Row],[ENTRADA]]-Table22[[#This Row],[SAÍDA]]</f>
        <v>0</v>
      </c>
      <c r="F56" s="29">
        <f>F55+Table22[[#This Row],[SALDO]]</f>
        <v>0</v>
      </c>
      <c r="G56" s="4"/>
      <c r="H56" s="24">
        <f>SUMIFS(T_dados[VALOR],T_dados[CONTA],H48,T_dados[CATEGORIA],"Renda",T_dados[CATEGORIA],"&lt;&gt;Transferência",T_dados[DATA],"&gt;="&amp;JUL_I,T_dados[DATA],"&lt;="&amp;JUL_F)+SUMIFS(T_dados[VALOR],T_dados[CONTA],H48,T_dados[CATEGORIA],"Transferência",T_dados[SUBCATEGORIA],"Entrada",T_dados[DATA],"&gt;="&amp;JUL_I,T_dados[DATA],"&lt;="&amp;JUL_F)</f>
        <v>0</v>
      </c>
      <c r="I56" s="24">
        <f>SUMIFS(T_dados[VALOR],T_dados[CONTA],H48,T_dados[CATEGORIA],"&lt;&gt;Renda",T_dados[CATEGORIA],"&lt;&gt;Transferência",T_dados[DATA],"&gt;="&amp;JUL_I,T_dados[DATA],"&lt;="&amp;JUL_F)+SUMIFS(T_dados[VALOR],T_dados[CONTA],H48,T_dados[CATEGORIA],"Transferência",T_dados[SUBCATEGORIA],"Saída",T_dados[DATA],"&gt;="&amp;JUL_I,T_dados[DATA],"&lt;="&amp;JUL_F)</f>
        <v>0</v>
      </c>
      <c r="J56" s="29">
        <f>Table2224[[#This Row],[ENTRADA]]-Table2224[[#This Row],[SAÍDA]]</f>
        <v>0</v>
      </c>
      <c r="K56" s="29">
        <f>K55+Table2224[[#This Row],[SALDO]]</f>
        <v>0</v>
      </c>
      <c r="L56" s="4"/>
      <c r="M56" s="24">
        <f>SUMIFS(T_dados[VALOR],T_dados[CONTA],M48,T_dados[CATEGORIA],"Renda",T_dados[CATEGORIA],"&lt;&gt;Transferência",T_dados[DATA],"&gt;="&amp;JUL_I,T_dados[DATA],"&lt;="&amp;JUL_F)+SUMIFS(T_dados[VALOR],T_dados[CONTA],M48,T_dados[CATEGORIA],"Transferência",T_dados[SUBCATEGORIA],"Entrada",T_dados[DATA],"&gt;="&amp;JUL_I,T_dados[DATA],"&lt;="&amp;JUL_F)</f>
        <v>0</v>
      </c>
      <c r="N56" s="24">
        <f>SUMIFS(T_dados[VALOR],T_dados[CONTA],M48,T_dados[CATEGORIA],"&lt;&gt;Renda",T_dados[CATEGORIA],"&lt;&gt;Transferência",T_dados[DATA],"&gt;="&amp;JUL_I,T_dados[DATA],"&lt;="&amp;JUL_F)+SUMIFS(T_dados[VALOR],T_dados[CONTA],M48,T_dados[CATEGORIA],"Transferência",T_dados[SUBCATEGORIA],"Saída",T_dados[DATA],"&gt;="&amp;JUL_I,T_dados[DATA],"&lt;="&amp;JUL_F)</f>
        <v>0</v>
      </c>
      <c r="O56" s="29">
        <f>Table2225[[#This Row],[ENTRADA]]-Table2225[[#This Row],[SAÍDA]]</f>
        <v>0</v>
      </c>
      <c r="P56" s="29">
        <f>P55+Table2225[[#This Row],[SALDO]]</f>
        <v>0</v>
      </c>
      <c r="Q56" s="4"/>
      <c r="R56" s="24">
        <f>SUMIFS(T_dados[VALOR],T_dados[CONTA],R48,T_dados[CATEGORIA],"Renda",T_dados[CATEGORIA],"&lt;&gt;Transferência",T_dados[DATA],"&gt;="&amp;JUL_I,T_dados[DATA],"&lt;="&amp;JUL_F)+SUMIFS(T_dados[VALOR],T_dados[CONTA],R48,T_dados[CATEGORIA],"Transferência",T_dados[SUBCATEGORIA],"Entrada",T_dados[DATA],"&gt;="&amp;JUL_I,T_dados[DATA],"&lt;="&amp;JUL_F)</f>
        <v>0</v>
      </c>
      <c r="S56" s="24">
        <f>SUMIFS(T_dados[VALOR],T_dados[CONTA],R48,T_dados[CATEGORIA],"&lt;&gt;Renda",T_dados[CATEGORIA],"&lt;&gt;Transferência",T_dados[DATA],"&gt;="&amp;JUL_I,T_dados[DATA],"&lt;="&amp;JUL_F)+SUMIFS(T_dados[VALOR],T_dados[CONTA],R48,T_dados[CATEGORIA],"Transferência",T_dados[SUBCATEGORIA],"Saída",T_dados[DATA],"&gt;="&amp;JUL_I,T_dados[DATA],"&lt;="&amp;JUL_F)</f>
        <v>0</v>
      </c>
      <c r="T56" s="29">
        <f>Table2226[[#This Row],[ENTRADA]]-Table2226[[#This Row],[SAÍDA]]</f>
        <v>0</v>
      </c>
      <c r="U56" s="29">
        <f>U55+Table2226[[#This Row],[SALDO]]</f>
        <v>0</v>
      </c>
      <c r="V56" s="4"/>
      <c r="W56" s="24">
        <f>SUMIFS(T_dados[VALOR],T_dados[CONTA],W48,T_dados[CATEGORIA],"Renda",T_dados[CATEGORIA],"&lt;&gt;Transferência",T_dados[DATA],"&gt;="&amp;JUL_I,T_dados[DATA],"&lt;="&amp;JUL_F)+SUMIFS(T_dados[VALOR],T_dados[CONTA],W48,T_dados[CATEGORIA],"Transferência",T_dados[SUBCATEGORIA],"Entrada",T_dados[DATA],"&gt;="&amp;JUL_I,T_dados[DATA],"&lt;="&amp;JUL_F)</f>
        <v>0</v>
      </c>
      <c r="X56" s="24">
        <f>SUMIFS(T_dados[VALOR],T_dados[CONTA],W48,T_dados[CATEGORIA],"&lt;&gt;Renda",T_dados[CATEGORIA],"&lt;&gt;Transferência",T_dados[DATA],"&gt;="&amp;JUL_I,T_dados[DATA],"&lt;="&amp;JUL_F)+SUMIFS(T_dados[VALOR],T_dados[CONTA],W48,T_dados[CATEGORIA],"Transferência",T_dados[SUBCATEGORIA],"Saída",T_dados[DATA],"&gt;="&amp;JUL_I,T_dados[DATA],"&lt;="&amp;JUL_F)</f>
        <v>0</v>
      </c>
      <c r="Y56" s="29">
        <f>Table2227[[#This Row],[ENTRADA]]-Table2227[[#This Row],[SAÍDA]]</f>
        <v>0</v>
      </c>
      <c r="Z56" s="29">
        <f>Z55+Table2227[[#This Row],[SALDO]]</f>
        <v>0</v>
      </c>
      <c r="AA56" s="4"/>
      <c r="AB56" s="24">
        <f>SUMIFS(T_dados[VALOR],T_dados[CONTA],AB48,T_dados[CATEGORIA],"Renda",T_dados[CATEGORIA],"&lt;&gt;Transferência",T_dados[DATA],"&gt;="&amp;JUL_I,T_dados[DATA],"&lt;="&amp;JUL_F)+SUMIFS(T_dados[VALOR],T_dados[CONTA],AB48,T_dados[CATEGORIA],"Transferência",T_dados[SUBCATEGORIA],"Entrada",T_dados[DATA],"&gt;="&amp;JUL_I,T_dados[DATA],"&lt;="&amp;JUL_F)</f>
        <v>0</v>
      </c>
      <c r="AC56" s="24">
        <f>SUMIFS(T_dados[VALOR],T_dados[CONTA],AB48,T_dados[CATEGORIA],"&lt;&gt;Renda",T_dados[CATEGORIA],"&lt;&gt;Transferência",T_dados[DATA],"&gt;="&amp;JUL_I,T_dados[DATA],"&lt;="&amp;JUL_F)+SUMIFS(T_dados[VALOR],T_dados[CONTA],AB48,T_dados[CATEGORIA],"Transferência",T_dados[SUBCATEGORIA],"Saída",T_dados[DATA],"&gt;="&amp;JUL_I,T_dados[DATA],"&lt;="&amp;JUL_F)</f>
        <v>0</v>
      </c>
      <c r="AD56" s="29">
        <f>Table2228[[#This Row],[ENTRADA]]-Table2228[[#This Row],[SAÍDA]]</f>
        <v>0</v>
      </c>
      <c r="AE56" s="29">
        <f>AE55+Table2228[[#This Row],[SALDO]]</f>
        <v>0</v>
      </c>
      <c r="AF56" s="4"/>
      <c r="AG56" s="24">
        <f>SUMIFS(T_dados[VALOR],T_dados[CONTA],AG48,T_dados[CATEGORIA],"Renda",T_dados[CATEGORIA],"&lt;&gt;Transferência",T_dados[DATA],"&gt;="&amp;JUL_I,T_dados[DATA],"&lt;="&amp;JUL_F)+SUMIFS(T_dados[VALOR],T_dados[CONTA],AG48,T_dados[CATEGORIA],"Transferência",T_dados[SUBCATEGORIA],"Entrada",T_dados[DATA],"&gt;="&amp;JUL_I,T_dados[DATA],"&lt;="&amp;JUL_F)</f>
        <v>0</v>
      </c>
      <c r="AH56" s="24">
        <f>SUMIFS(T_dados[VALOR],T_dados[CONTA],AG48,T_dados[CATEGORIA],"&lt;&gt;Renda",T_dados[CATEGORIA],"&lt;&gt;Transferência",T_dados[DATA],"&gt;="&amp;JUL_I,T_dados[DATA],"&lt;="&amp;JUL_F)+SUMIFS(T_dados[VALOR],T_dados[CONTA],AG48,T_dados[CATEGORIA],"Transferência",T_dados[SUBCATEGORIA],"Saída",T_dados[DATA],"&gt;="&amp;JUL_I,T_dados[DATA],"&lt;="&amp;JUL_F)</f>
        <v>0</v>
      </c>
      <c r="AI56" s="29">
        <f>Table2229[[#This Row],[ENTRADA]]-Table2229[[#This Row],[SAÍDA]]</f>
        <v>0</v>
      </c>
      <c r="AJ56" s="29">
        <f>AJ55+Table2229[[#This Row],[SALDO]]</f>
        <v>0</v>
      </c>
      <c r="AO56" s="2"/>
      <c r="AT56" s="2"/>
    </row>
    <row r="57" spans="1:47" x14ac:dyDescent="0.25">
      <c r="A57" s="3" t="s">
        <v>133</v>
      </c>
      <c r="C57" s="24">
        <f>SUMIFS(T_dados[VALOR],T_dados[CONTA],C48,T_dados[CATEGORIA],"Renda",T_dados[CATEGORIA],"&lt;&gt;Transferência",T_dados[DATA],"&gt;="&amp;AGO_I,T_dados[DATA],"&lt;="&amp;AGO_F)+SUMIFS(T_dados[VALOR],T_dados[CONTA],C48,T_dados[CATEGORIA],"Transferência",T_dados[SUBCATEGORIA],"Entrada",T_dados[DATA],"&gt;="&amp;AGO_I,T_dados[DATA],"&lt;="&amp;AGO_F)</f>
        <v>0</v>
      </c>
      <c r="D57" s="24">
        <f>SUMIFS(T_dados[VALOR],T_dados[CONTA],C48,T_dados[CATEGORIA],"&lt;&gt;Renda",T_dados[CATEGORIA],"&lt;&gt;Transferência",T_dados[DATA],"&gt;="&amp;AGO_I,T_dados[DATA],"&lt;="&amp;AGO_F)+SUMIFS(T_dados[VALOR],T_dados[CONTA],C48,T_dados[CATEGORIA],"Transferência",T_dados[SUBCATEGORIA],"Saída",T_dados[DATA],"&gt;="&amp;AGO_I,T_dados[DATA],"&lt;="&amp;AGO_F)</f>
        <v>0</v>
      </c>
      <c r="E57" s="29">
        <f>Table22[[#This Row],[ENTRADA]]-Table22[[#This Row],[SAÍDA]]</f>
        <v>0</v>
      </c>
      <c r="F57" s="29">
        <f>F56+Table22[[#This Row],[SALDO]]</f>
        <v>0</v>
      </c>
      <c r="G57" s="4"/>
      <c r="H57" s="24">
        <f>SUMIFS(T_dados[VALOR],T_dados[CONTA],H48,T_dados[CATEGORIA],"Renda",T_dados[CATEGORIA],"&lt;&gt;Transferência",T_dados[DATA],"&gt;="&amp;AGO_I,T_dados[DATA],"&lt;="&amp;AGO_F)+SUMIFS(T_dados[VALOR],T_dados[CONTA],H48,T_dados[CATEGORIA],"Transferência",T_dados[SUBCATEGORIA],"Entrada",T_dados[DATA],"&gt;="&amp;AGO_I,T_dados[DATA],"&lt;="&amp;AGO_F)</f>
        <v>0</v>
      </c>
      <c r="I57" s="24">
        <f>SUMIFS(T_dados[VALOR],T_dados[CONTA],H48,T_dados[CATEGORIA],"&lt;&gt;Renda",T_dados[CATEGORIA],"&lt;&gt;Transferência",T_dados[DATA],"&gt;="&amp;AGO_I,T_dados[DATA],"&lt;="&amp;AGO_F)+SUMIFS(T_dados[VALOR],T_dados[CONTA],H48,T_dados[CATEGORIA],"Transferência",T_dados[SUBCATEGORIA],"Saída",T_dados[DATA],"&gt;="&amp;AGO_I,T_dados[DATA],"&lt;="&amp;AGO_F)</f>
        <v>0</v>
      </c>
      <c r="J57" s="29">
        <f>Table2224[[#This Row],[ENTRADA]]-Table2224[[#This Row],[SAÍDA]]</f>
        <v>0</v>
      </c>
      <c r="K57" s="29">
        <f>K56+Table2224[[#This Row],[SALDO]]</f>
        <v>0</v>
      </c>
      <c r="L57" s="4"/>
      <c r="M57" s="24">
        <f>SUMIFS(T_dados[VALOR],T_dados[CONTA],M48,T_dados[CATEGORIA],"Renda",T_dados[CATEGORIA],"&lt;&gt;Transferência",T_dados[DATA],"&gt;="&amp;AGO_I,T_dados[DATA],"&lt;="&amp;AGO_F)+SUMIFS(T_dados[VALOR],T_dados[CONTA],M48,T_dados[CATEGORIA],"Transferência",T_dados[SUBCATEGORIA],"Entrada",T_dados[DATA],"&gt;="&amp;AGO_I,T_dados[DATA],"&lt;="&amp;AGO_F)</f>
        <v>0</v>
      </c>
      <c r="N57" s="24">
        <f>SUMIFS(T_dados[VALOR],T_dados[CONTA],M48,T_dados[CATEGORIA],"&lt;&gt;Renda",T_dados[CATEGORIA],"&lt;&gt;Transferência",T_dados[DATA],"&gt;="&amp;AGO_I,T_dados[DATA],"&lt;="&amp;AGO_F)+SUMIFS(T_dados[VALOR],T_dados[CONTA],M48,T_dados[CATEGORIA],"Transferência",T_dados[SUBCATEGORIA],"Saída",T_dados[DATA],"&gt;="&amp;AGO_I,T_dados[DATA],"&lt;="&amp;AGO_F)</f>
        <v>0</v>
      </c>
      <c r="O57" s="29">
        <f>Table2225[[#This Row],[ENTRADA]]-Table2225[[#This Row],[SAÍDA]]</f>
        <v>0</v>
      </c>
      <c r="P57" s="29">
        <f>P56+Table2225[[#This Row],[SALDO]]</f>
        <v>0</v>
      </c>
      <c r="Q57" s="4"/>
      <c r="R57" s="24">
        <f>SUMIFS(T_dados[VALOR],T_dados[CONTA],R48,T_dados[CATEGORIA],"Renda",T_dados[CATEGORIA],"&lt;&gt;Transferência",T_dados[DATA],"&gt;="&amp;AGO_I,T_dados[DATA],"&lt;="&amp;AGO_F)+SUMIFS(T_dados[VALOR],T_dados[CONTA],R48,T_dados[CATEGORIA],"Transferência",T_dados[SUBCATEGORIA],"Entrada",T_dados[DATA],"&gt;="&amp;AGO_I,T_dados[DATA],"&lt;="&amp;AGO_F)</f>
        <v>0</v>
      </c>
      <c r="S57" s="24">
        <f>SUMIFS(T_dados[VALOR],T_dados[CONTA],R48,T_dados[CATEGORIA],"&lt;&gt;Renda",T_dados[CATEGORIA],"&lt;&gt;Transferência",T_dados[DATA],"&gt;="&amp;AGO_I,T_dados[DATA],"&lt;="&amp;AGO_F)+SUMIFS(T_dados[VALOR],T_dados[CONTA],R48,T_dados[CATEGORIA],"Transferência",T_dados[SUBCATEGORIA],"Saída",T_dados[DATA],"&gt;="&amp;AGO_I,T_dados[DATA],"&lt;="&amp;AGO_F)</f>
        <v>0</v>
      </c>
      <c r="T57" s="29">
        <f>Table2226[[#This Row],[ENTRADA]]-Table2226[[#This Row],[SAÍDA]]</f>
        <v>0</v>
      </c>
      <c r="U57" s="29">
        <f>U56+Table2226[[#This Row],[SALDO]]</f>
        <v>0</v>
      </c>
      <c r="V57" s="4"/>
      <c r="W57" s="24">
        <f>SUMIFS(T_dados[VALOR],T_dados[CONTA],W48,T_dados[CATEGORIA],"Renda",T_dados[CATEGORIA],"&lt;&gt;Transferência",T_dados[DATA],"&gt;="&amp;AGO_I,T_dados[DATA],"&lt;="&amp;AGO_F)+SUMIFS(T_dados[VALOR],T_dados[CONTA],W48,T_dados[CATEGORIA],"Transferência",T_dados[SUBCATEGORIA],"Entrada",T_dados[DATA],"&gt;="&amp;AGO_I,T_dados[DATA],"&lt;="&amp;AGO_F)</f>
        <v>0</v>
      </c>
      <c r="X57" s="24">
        <f>SUMIFS(T_dados[VALOR],T_dados[CONTA],W48,T_dados[CATEGORIA],"&lt;&gt;Renda",T_dados[CATEGORIA],"&lt;&gt;Transferência",T_dados[DATA],"&gt;="&amp;AGO_I,T_dados[DATA],"&lt;="&amp;AGO_F)+SUMIFS(T_dados[VALOR],T_dados[CONTA],W48,T_dados[CATEGORIA],"Transferência",T_dados[SUBCATEGORIA],"Saída",T_dados[DATA],"&gt;="&amp;AGO_I,T_dados[DATA],"&lt;="&amp;AGO_F)</f>
        <v>0</v>
      </c>
      <c r="Y57" s="29">
        <f>Table2227[[#This Row],[ENTRADA]]-Table2227[[#This Row],[SAÍDA]]</f>
        <v>0</v>
      </c>
      <c r="Z57" s="29">
        <f>Z56+Table2227[[#This Row],[SALDO]]</f>
        <v>0</v>
      </c>
      <c r="AA57" s="4"/>
      <c r="AB57" s="24">
        <f>SUMIFS(T_dados[VALOR],T_dados[CONTA],AB48,T_dados[CATEGORIA],"Renda",T_dados[CATEGORIA],"&lt;&gt;Transferência",T_dados[DATA],"&gt;="&amp;AGO_I,T_dados[DATA],"&lt;="&amp;AGO_F)+SUMIFS(T_dados[VALOR],T_dados[CONTA],AB48,T_dados[CATEGORIA],"Transferência",T_dados[SUBCATEGORIA],"Entrada",T_dados[DATA],"&gt;="&amp;AGO_I,T_dados[DATA],"&lt;="&amp;AGO_F)</f>
        <v>0</v>
      </c>
      <c r="AC57" s="24">
        <f>SUMIFS(T_dados[VALOR],T_dados[CONTA],AB48,T_dados[CATEGORIA],"&lt;&gt;Renda",T_dados[CATEGORIA],"&lt;&gt;Transferência",T_dados[DATA],"&gt;="&amp;AGO_I,T_dados[DATA],"&lt;="&amp;AGO_F)+SUMIFS(T_dados[VALOR],T_dados[CONTA],AB48,T_dados[CATEGORIA],"Transferência",T_dados[SUBCATEGORIA],"Saída",T_dados[DATA],"&gt;="&amp;AGO_I,T_dados[DATA],"&lt;="&amp;AGO_F)</f>
        <v>0</v>
      </c>
      <c r="AD57" s="29">
        <f>Table2228[[#This Row],[ENTRADA]]-Table2228[[#This Row],[SAÍDA]]</f>
        <v>0</v>
      </c>
      <c r="AE57" s="29">
        <f>AE56+Table2228[[#This Row],[SALDO]]</f>
        <v>0</v>
      </c>
      <c r="AF57" s="4"/>
      <c r="AG57" s="24">
        <f>SUMIFS(T_dados[VALOR],T_dados[CONTA],AG48,T_dados[CATEGORIA],"Renda",T_dados[CATEGORIA],"&lt;&gt;Transferência",T_dados[DATA],"&gt;="&amp;AGO_I,T_dados[DATA],"&lt;="&amp;AGO_F)+SUMIFS(T_dados[VALOR],T_dados[CONTA],AG48,T_dados[CATEGORIA],"Transferência",T_dados[SUBCATEGORIA],"Entrada",T_dados[DATA],"&gt;="&amp;AGO_I,T_dados[DATA],"&lt;="&amp;AGO_F)</f>
        <v>0</v>
      </c>
      <c r="AH57" s="24">
        <f>SUMIFS(T_dados[VALOR],T_dados[CONTA],AG48,T_dados[CATEGORIA],"&lt;&gt;Renda",T_dados[CATEGORIA],"&lt;&gt;Transferência",T_dados[DATA],"&gt;="&amp;AGO_I,T_dados[DATA],"&lt;="&amp;AGO_F)+SUMIFS(T_dados[VALOR],T_dados[CONTA],AG48,T_dados[CATEGORIA],"Transferência",T_dados[SUBCATEGORIA],"Saída",T_dados[DATA],"&gt;="&amp;AGO_I,T_dados[DATA],"&lt;="&amp;AGO_F)</f>
        <v>0</v>
      </c>
      <c r="AI57" s="29">
        <f>Table2229[[#This Row],[ENTRADA]]-Table2229[[#This Row],[SAÍDA]]</f>
        <v>0</v>
      </c>
      <c r="AJ57" s="29">
        <f>AJ56+Table2229[[#This Row],[SALDO]]</f>
        <v>0</v>
      </c>
      <c r="AO57" s="2"/>
    </row>
    <row r="58" spans="1:47" x14ac:dyDescent="0.25">
      <c r="A58" s="3" t="s">
        <v>134</v>
      </c>
      <c r="C58" s="24">
        <f>SUMIFS(T_dados[VALOR],T_dados[CONTA],C48,T_dados[CATEGORIA],"Renda",T_dados[CATEGORIA],"&lt;&gt;Transferência",T_dados[DATA],"&gt;="&amp;SET_I,T_dados[DATA],"&lt;="&amp;SET_F)+SUMIFS(T_dados[VALOR],T_dados[CONTA],C48,T_dados[CATEGORIA],"Transferência",T_dados[SUBCATEGORIA],"Entrada",T_dados[DATA],"&gt;="&amp;SET_I,T_dados[DATA],"&lt;="&amp;SET_F)</f>
        <v>0</v>
      </c>
      <c r="D58" s="24">
        <f>SUMIFS(T_dados[VALOR],T_dados[CONTA],C48,T_dados[CATEGORIA],"&lt;&gt;Renda",T_dados[CATEGORIA],"&lt;&gt;Transferência",T_dados[DATA],"&gt;="&amp;SET_I,T_dados[DATA],"&lt;="&amp;SET_F)+SUMIFS(T_dados[VALOR],T_dados[CONTA],C48,T_dados[CATEGORIA],"Transferência",T_dados[SUBCATEGORIA],"Saída",T_dados[DATA],"&gt;="&amp;SET_I,T_dados[DATA],"&lt;="&amp;SET_F)</f>
        <v>0</v>
      </c>
      <c r="E58" s="29">
        <f>Table22[[#This Row],[ENTRADA]]-Table22[[#This Row],[SAÍDA]]</f>
        <v>0</v>
      </c>
      <c r="F58" s="29">
        <f>F57+Table22[[#This Row],[SALDO]]</f>
        <v>0</v>
      </c>
      <c r="G58" s="4"/>
      <c r="H58" s="24">
        <f>SUMIFS(T_dados[VALOR],T_dados[CONTA],H48,T_dados[CATEGORIA],"Renda",T_dados[CATEGORIA],"&lt;&gt;Transferência",T_dados[DATA],"&gt;="&amp;SET_I,T_dados[DATA],"&lt;="&amp;SET_F)+SUMIFS(T_dados[VALOR],T_dados[CONTA],H48,T_dados[CATEGORIA],"Transferência",T_dados[SUBCATEGORIA],"Entrada",T_dados[DATA],"&gt;="&amp;SET_I,T_dados[DATA],"&lt;="&amp;SET_F)</f>
        <v>0</v>
      </c>
      <c r="I58" s="24">
        <f>SUMIFS(T_dados[VALOR],T_dados[CONTA],H48,T_dados[CATEGORIA],"&lt;&gt;Renda",T_dados[CATEGORIA],"&lt;&gt;Transferência",T_dados[DATA],"&gt;="&amp;SET_I,T_dados[DATA],"&lt;="&amp;SET_F)+SUMIFS(T_dados[VALOR],T_dados[CONTA],H48,T_dados[CATEGORIA],"Transferência",T_dados[SUBCATEGORIA],"Saída",T_dados[DATA],"&gt;="&amp;SET_I,T_dados[DATA],"&lt;="&amp;SET_F)</f>
        <v>0</v>
      </c>
      <c r="J58" s="29">
        <f>Table2224[[#This Row],[ENTRADA]]-Table2224[[#This Row],[SAÍDA]]</f>
        <v>0</v>
      </c>
      <c r="K58" s="29">
        <f>K57+Table2224[[#This Row],[SALDO]]</f>
        <v>0</v>
      </c>
      <c r="L58" s="4"/>
      <c r="M58" s="24">
        <f>SUMIFS(T_dados[VALOR],T_dados[CONTA],M48,T_dados[CATEGORIA],"Renda",T_dados[CATEGORIA],"&lt;&gt;Transferência",T_dados[DATA],"&gt;="&amp;SET_I,T_dados[DATA],"&lt;="&amp;SET_F)+SUMIFS(T_dados[VALOR],T_dados[CONTA],M48,T_dados[CATEGORIA],"Transferência",T_dados[SUBCATEGORIA],"Entrada",T_dados[DATA],"&gt;="&amp;SET_I,T_dados[DATA],"&lt;="&amp;SET_F)</f>
        <v>0</v>
      </c>
      <c r="N58" s="24">
        <f>SUMIFS(T_dados[VALOR],T_dados[CONTA],M48,T_dados[CATEGORIA],"&lt;&gt;Renda",T_dados[CATEGORIA],"&lt;&gt;Transferência",T_dados[DATA],"&gt;="&amp;SET_I,T_dados[DATA],"&lt;="&amp;SET_F)+SUMIFS(T_dados[VALOR],T_dados[CONTA],M48,T_dados[CATEGORIA],"Transferência",T_dados[SUBCATEGORIA],"Saída",T_dados[DATA],"&gt;="&amp;SET_I,T_dados[DATA],"&lt;="&amp;SET_F)</f>
        <v>0</v>
      </c>
      <c r="O58" s="29">
        <f>Table2225[[#This Row],[ENTRADA]]-Table2225[[#This Row],[SAÍDA]]</f>
        <v>0</v>
      </c>
      <c r="P58" s="29">
        <f>P57+Table2225[[#This Row],[SALDO]]</f>
        <v>0</v>
      </c>
      <c r="Q58" s="4"/>
      <c r="R58" s="24">
        <f>SUMIFS(T_dados[VALOR],T_dados[CONTA],R48,T_dados[CATEGORIA],"Renda",T_dados[CATEGORIA],"&lt;&gt;Transferência",T_dados[DATA],"&gt;="&amp;SET_I,T_dados[DATA],"&lt;="&amp;SET_F)+SUMIFS(T_dados[VALOR],T_dados[CONTA],R48,T_dados[CATEGORIA],"Transferência",T_dados[SUBCATEGORIA],"Entrada",T_dados[DATA],"&gt;="&amp;SET_I,T_dados[DATA],"&lt;="&amp;SET_F)</f>
        <v>0</v>
      </c>
      <c r="S58" s="24">
        <f>SUMIFS(T_dados[VALOR],T_dados[CONTA],R48,T_dados[CATEGORIA],"&lt;&gt;Renda",T_dados[CATEGORIA],"&lt;&gt;Transferência",T_dados[DATA],"&gt;="&amp;SET_I,T_dados[DATA],"&lt;="&amp;SET_F)+SUMIFS(T_dados[VALOR],T_dados[CONTA],R48,T_dados[CATEGORIA],"Transferência",T_dados[SUBCATEGORIA],"Saída",T_dados[DATA],"&gt;="&amp;SET_I,T_dados[DATA],"&lt;="&amp;SET_F)</f>
        <v>0</v>
      </c>
      <c r="T58" s="29">
        <f>Table2226[[#This Row],[ENTRADA]]-Table2226[[#This Row],[SAÍDA]]</f>
        <v>0</v>
      </c>
      <c r="U58" s="29">
        <f>U57+Table2226[[#This Row],[SALDO]]</f>
        <v>0</v>
      </c>
      <c r="V58" s="4"/>
      <c r="W58" s="24">
        <f>SUMIFS(T_dados[VALOR],T_dados[CONTA],W48,T_dados[CATEGORIA],"Renda",T_dados[CATEGORIA],"&lt;&gt;Transferência",T_dados[DATA],"&gt;="&amp;SET_I,T_dados[DATA],"&lt;="&amp;SET_F)+SUMIFS(T_dados[VALOR],T_dados[CONTA],W48,T_dados[CATEGORIA],"Transferência",T_dados[SUBCATEGORIA],"Entrada",T_dados[DATA],"&gt;="&amp;SET_I,T_dados[DATA],"&lt;="&amp;SET_F)</f>
        <v>0</v>
      </c>
      <c r="X58" s="24">
        <f>SUMIFS(T_dados[VALOR],T_dados[CONTA],W48,T_dados[CATEGORIA],"&lt;&gt;Renda",T_dados[CATEGORIA],"&lt;&gt;Transferência",T_dados[DATA],"&gt;="&amp;SET_I,T_dados[DATA],"&lt;="&amp;SET_F)+SUMIFS(T_dados[VALOR],T_dados[CONTA],W48,T_dados[CATEGORIA],"Transferência",T_dados[SUBCATEGORIA],"Saída",T_dados[DATA],"&gt;="&amp;SET_I,T_dados[DATA],"&lt;="&amp;SET_F)</f>
        <v>0</v>
      </c>
      <c r="Y58" s="29">
        <f>Table2227[[#This Row],[ENTRADA]]-Table2227[[#This Row],[SAÍDA]]</f>
        <v>0</v>
      </c>
      <c r="Z58" s="29">
        <f>Z57+Table2227[[#This Row],[SALDO]]</f>
        <v>0</v>
      </c>
      <c r="AA58" s="4"/>
      <c r="AB58" s="24">
        <f>SUMIFS(T_dados[VALOR],T_dados[CONTA],AB48,T_dados[CATEGORIA],"Renda",T_dados[CATEGORIA],"&lt;&gt;Transferência",T_dados[DATA],"&gt;="&amp;SET_I,T_dados[DATA],"&lt;="&amp;SET_F)+SUMIFS(T_dados[VALOR],T_dados[CONTA],AB48,T_dados[CATEGORIA],"Transferência",T_dados[SUBCATEGORIA],"Entrada",T_dados[DATA],"&gt;="&amp;SET_I,T_dados[DATA],"&lt;="&amp;SET_F)</f>
        <v>0</v>
      </c>
      <c r="AC58" s="24">
        <f>SUMIFS(T_dados[VALOR],T_dados[CONTA],AB48,T_dados[CATEGORIA],"&lt;&gt;Renda",T_dados[CATEGORIA],"&lt;&gt;Transferência",T_dados[DATA],"&gt;="&amp;SET_I,T_dados[DATA],"&lt;="&amp;SET_F)+SUMIFS(T_dados[VALOR],T_dados[CONTA],AB48,T_dados[CATEGORIA],"Transferência",T_dados[SUBCATEGORIA],"Saída",T_dados[DATA],"&gt;="&amp;SET_I,T_dados[DATA],"&lt;="&amp;SET_F)</f>
        <v>0</v>
      </c>
      <c r="AD58" s="29">
        <f>Table2228[[#This Row],[ENTRADA]]-Table2228[[#This Row],[SAÍDA]]</f>
        <v>0</v>
      </c>
      <c r="AE58" s="29">
        <f>AE57+Table2228[[#This Row],[SALDO]]</f>
        <v>0</v>
      </c>
      <c r="AF58" s="4"/>
      <c r="AG58" s="24">
        <f>SUMIFS(T_dados[VALOR],T_dados[CONTA],AG48,T_dados[CATEGORIA],"Renda",T_dados[CATEGORIA],"&lt;&gt;Transferência",T_dados[DATA],"&gt;="&amp;SET_I,T_dados[DATA],"&lt;="&amp;SET_F)+SUMIFS(T_dados[VALOR],T_dados[CONTA],AG48,T_dados[CATEGORIA],"Transferência",T_dados[SUBCATEGORIA],"Entrada",T_dados[DATA],"&gt;="&amp;SET_I,T_dados[DATA],"&lt;="&amp;SET_F)</f>
        <v>0</v>
      </c>
      <c r="AH58" s="24">
        <f>SUMIFS(T_dados[VALOR],T_dados[CONTA],AG48,T_dados[CATEGORIA],"&lt;&gt;Renda",T_dados[CATEGORIA],"&lt;&gt;Transferência",T_dados[DATA],"&gt;="&amp;SET_I,T_dados[DATA],"&lt;="&amp;SET_F)+SUMIFS(T_dados[VALOR],T_dados[CONTA],AG48,T_dados[CATEGORIA],"Transferência",T_dados[SUBCATEGORIA],"Saída",T_dados[DATA],"&gt;="&amp;SET_I,T_dados[DATA],"&lt;="&amp;SET_F)</f>
        <v>0</v>
      </c>
      <c r="AI58" s="29">
        <f>Table2229[[#This Row],[ENTRADA]]-Table2229[[#This Row],[SAÍDA]]</f>
        <v>0</v>
      </c>
      <c r="AJ58" s="29">
        <f>AJ57+Table2229[[#This Row],[SALDO]]</f>
        <v>0</v>
      </c>
      <c r="AO58" s="2"/>
    </row>
    <row r="59" spans="1:47" x14ac:dyDescent="0.25">
      <c r="A59" s="3" t="s">
        <v>135</v>
      </c>
      <c r="C59" s="24">
        <f>SUMIFS(T_dados[VALOR],T_dados[CONTA],C48,T_dados[CATEGORIA],"Renda",T_dados[CATEGORIA],"&lt;&gt;Transferência",T_dados[DATA],"&gt;="&amp;OUT_I,T_dados[DATA],"&lt;="&amp;OUT_F)+SUMIFS(T_dados[VALOR],T_dados[CONTA],C48,T_dados[CATEGORIA],"Transferência",T_dados[SUBCATEGORIA],"Entrada",T_dados[DATA],"&gt;="&amp;OUT_I,T_dados[DATA],"&lt;="&amp;OUT_F)</f>
        <v>0</v>
      </c>
      <c r="D59" s="24">
        <f>SUMIFS(T_dados[VALOR],T_dados[CONTA],C48,T_dados[CATEGORIA],"&lt;&gt;Renda",T_dados[CATEGORIA],"&lt;&gt;Transferência",T_dados[DATA],"&gt;="&amp;OUT_I,T_dados[DATA],"&lt;="&amp;OUT_F)+SUMIFS(T_dados[VALOR],T_dados[CONTA],C48,T_dados[CATEGORIA],"Transferência",T_dados[SUBCATEGORIA],"Saída",T_dados[DATA],"&gt;="&amp;OUT_I,T_dados[DATA],"&lt;="&amp;OUT_F)</f>
        <v>0</v>
      </c>
      <c r="E59" s="29">
        <f>Table22[[#This Row],[ENTRADA]]-Table22[[#This Row],[SAÍDA]]</f>
        <v>0</v>
      </c>
      <c r="F59" s="29">
        <f>F58+Table22[[#This Row],[SALDO]]</f>
        <v>0</v>
      </c>
      <c r="G59" s="4"/>
      <c r="H59" s="24">
        <f>SUMIFS(T_dados[VALOR],T_dados[CONTA],H48,T_dados[CATEGORIA],"Renda",T_dados[CATEGORIA],"&lt;&gt;Transferência",T_dados[DATA],"&gt;="&amp;OUT_I,T_dados[DATA],"&lt;="&amp;OUT_F)+SUMIFS(T_dados[VALOR],T_dados[CONTA],H48,T_dados[CATEGORIA],"Transferência",T_dados[SUBCATEGORIA],"Entrada",T_dados[DATA],"&gt;="&amp;OUT_I,T_dados[DATA],"&lt;="&amp;OUT_F)</f>
        <v>0</v>
      </c>
      <c r="I59" s="24">
        <f>SUMIFS(T_dados[VALOR],T_dados[CONTA],H48,T_dados[CATEGORIA],"&lt;&gt;Renda",T_dados[CATEGORIA],"&lt;&gt;Transferência",T_dados[DATA],"&gt;="&amp;OUT_I,T_dados[DATA],"&lt;="&amp;OUT_F)+SUMIFS(T_dados[VALOR],T_dados[CONTA],H48,T_dados[CATEGORIA],"Transferência",T_dados[SUBCATEGORIA],"Saída",T_dados[DATA],"&gt;="&amp;OUT_I,T_dados[DATA],"&lt;="&amp;OUT_F)</f>
        <v>0</v>
      </c>
      <c r="J59" s="29">
        <f>Table2224[[#This Row],[ENTRADA]]-Table2224[[#This Row],[SAÍDA]]</f>
        <v>0</v>
      </c>
      <c r="K59" s="29">
        <f>K58+Table2224[[#This Row],[SALDO]]</f>
        <v>0</v>
      </c>
      <c r="L59" s="4"/>
      <c r="M59" s="24">
        <f>SUMIFS(T_dados[VALOR],T_dados[CONTA],M48,T_dados[CATEGORIA],"Renda",T_dados[CATEGORIA],"&lt;&gt;Transferência",T_dados[DATA],"&gt;="&amp;OUT_I,T_dados[DATA],"&lt;="&amp;OUT_F)+SUMIFS(T_dados[VALOR],T_dados[CONTA],M48,T_dados[CATEGORIA],"Transferência",T_dados[SUBCATEGORIA],"Entrada",T_dados[DATA],"&gt;="&amp;OUT_I,T_dados[DATA],"&lt;="&amp;OUT_F)</f>
        <v>0</v>
      </c>
      <c r="N59" s="24">
        <f>SUMIFS(T_dados[VALOR],T_dados[CONTA],M48,T_dados[CATEGORIA],"&lt;&gt;Renda",T_dados[CATEGORIA],"&lt;&gt;Transferência",T_dados[DATA],"&gt;="&amp;OUT_I,T_dados[DATA],"&lt;="&amp;OUT_F)+SUMIFS(T_dados[VALOR],T_dados[CONTA],M48,T_dados[CATEGORIA],"Transferência",T_dados[SUBCATEGORIA],"Saída",T_dados[DATA],"&gt;="&amp;OUT_I,T_dados[DATA],"&lt;="&amp;OUT_F)</f>
        <v>0</v>
      </c>
      <c r="O59" s="29">
        <f>Table2225[[#This Row],[ENTRADA]]-Table2225[[#This Row],[SAÍDA]]</f>
        <v>0</v>
      </c>
      <c r="P59" s="29">
        <f>P58+Table2225[[#This Row],[SALDO]]</f>
        <v>0</v>
      </c>
      <c r="Q59" s="4"/>
      <c r="R59" s="24">
        <f>SUMIFS(T_dados[VALOR],T_dados[CONTA],R48,T_dados[CATEGORIA],"Renda",T_dados[CATEGORIA],"&lt;&gt;Transferência",T_dados[DATA],"&gt;="&amp;OUT_I,T_dados[DATA],"&lt;="&amp;OUT_F)+SUMIFS(T_dados[VALOR],T_dados[CONTA],R48,T_dados[CATEGORIA],"Transferência",T_dados[SUBCATEGORIA],"Entrada",T_dados[DATA],"&gt;="&amp;OUT_I,T_dados[DATA],"&lt;="&amp;OUT_F)</f>
        <v>0</v>
      </c>
      <c r="S59" s="24">
        <f>SUMIFS(T_dados[VALOR],T_dados[CONTA],R48,T_dados[CATEGORIA],"&lt;&gt;Renda",T_dados[CATEGORIA],"&lt;&gt;Transferência",T_dados[DATA],"&gt;="&amp;OUT_I,T_dados[DATA],"&lt;="&amp;OUT_F)+SUMIFS(T_dados[VALOR],T_dados[CONTA],R48,T_dados[CATEGORIA],"Transferência",T_dados[SUBCATEGORIA],"Saída",T_dados[DATA],"&gt;="&amp;OUT_I,T_dados[DATA],"&lt;="&amp;OUT_F)</f>
        <v>0</v>
      </c>
      <c r="T59" s="29">
        <f>Table2226[[#This Row],[ENTRADA]]-Table2226[[#This Row],[SAÍDA]]</f>
        <v>0</v>
      </c>
      <c r="U59" s="29">
        <f>U58+Table2226[[#This Row],[SALDO]]</f>
        <v>0</v>
      </c>
      <c r="V59" s="4"/>
      <c r="W59" s="24">
        <f>SUMIFS(T_dados[VALOR],T_dados[CONTA],W48,T_dados[CATEGORIA],"Renda",T_dados[CATEGORIA],"&lt;&gt;Transferência",T_dados[DATA],"&gt;="&amp;OUT_I,T_dados[DATA],"&lt;="&amp;OUT_F)+SUMIFS(T_dados[VALOR],T_dados[CONTA],W48,T_dados[CATEGORIA],"Transferência",T_dados[SUBCATEGORIA],"Entrada",T_dados[DATA],"&gt;="&amp;OUT_I,T_dados[DATA],"&lt;="&amp;OUT_F)</f>
        <v>0</v>
      </c>
      <c r="X59" s="24">
        <f>SUMIFS(T_dados[VALOR],T_dados[CONTA],W48,T_dados[CATEGORIA],"&lt;&gt;Renda",T_dados[CATEGORIA],"&lt;&gt;Transferência",T_dados[DATA],"&gt;="&amp;OUT_I,T_dados[DATA],"&lt;="&amp;OUT_F)+SUMIFS(T_dados[VALOR],T_dados[CONTA],W48,T_dados[CATEGORIA],"Transferência",T_dados[SUBCATEGORIA],"Saída",T_dados[DATA],"&gt;="&amp;OUT_I,T_dados[DATA],"&lt;="&amp;OUT_F)</f>
        <v>0</v>
      </c>
      <c r="Y59" s="29">
        <f>Table2227[[#This Row],[ENTRADA]]-Table2227[[#This Row],[SAÍDA]]</f>
        <v>0</v>
      </c>
      <c r="Z59" s="29">
        <f>Z58+Table2227[[#This Row],[SALDO]]</f>
        <v>0</v>
      </c>
      <c r="AA59" s="4"/>
      <c r="AB59" s="24">
        <f>SUMIFS(T_dados[VALOR],T_dados[CONTA],AB48,T_dados[CATEGORIA],"Renda",T_dados[CATEGORIA],"&lt;&gt;Transferência",T_dados[DATA],"&gt;="&amp;OUT_I,T_dados[DATA],"&lt;="&amp;OUT_F)+SUMIFS(T_dados[VALOR],T_dados[CONTA],AB48,T_dados[CATEGORIA],"Transferência",T_dados[SUBCATEGORIA],"Entrada",T_dados[DATA],"&gt;="&amp;OUT_I,T_dados[DATA],"&lt;="&amp;OUT_F)</f>
        <v>0</v>
      </c>
      <c r="AC59" s="24">
        <f>SUMIFS(T_dados[VALOR],T_dados[CONTA],AB48,T_dados[CATEGORIA],"&lt;&gt;Renda",T_dados[CATEGORIA],"&lt;&gt;Transferência",T_dados[DATA],"&gt;="&amp;OUT_I,T_dados[DATA],"&lt;="&amp;OUT_F)+SUMIFS(T_dados[VALOR],T_dados[CONTA],AB48,T_dados[CATEGORIA],"Transferência",T_dados[SUBCATEGORIA],"Saída",T_dados[DATA],"&gt;="&amp;OUT_I,T_dados[DATA],"&lt;="&amp;OUT_F)</f>
        <v>0</v>
      </c>
      <c r="AD59" s="29">
        <f>Table2228[[#This Row],[ENTRADA]]-Table2228[[#This Row],[SAÍDA]]</f>
        <v>0</v>
      </c>
      <c r="AE59" s="29">
        <f>AE58+Table2228[[#This Row],[SALDO]]</f>
        <v>0</v>
      </c>
      <c r="AF59" s="4"/>
      <c r="AG59" s="24">
        <f>SUMIFS(T_dados[VALOR],T_dados[CONTA],AG48,T_dados[CATEGORIA],"Renda",T_dados[CATEGORIA],"&lt;&gt;Transferência",T_dados[DATA],"&gt;="&amp;OUT_I,T_dados[DATA],"&lt;="&amp;OUT_F)+SUMIFS(T_dados[VALOR],T_dados[CONTA],AG48,T_dados[CATEGORIA],"Transferência",T_dados[SUBCATEGORIA],"Entrada",T_dados[DATA],"&gt;="&amp;OUT_I,T_dados[DATA],"&lt;="&amp;OUT_F)</f>
        <v>0</v>
      </c>
      <c r="AH59" s="24">
        <f>SUMIFS(T_dados[VALOR],T_dados[CONTA],AG48,T_dados[CATEGORIA],"&lt;&gt;Renda",T_dados[CATEGORIA],"&lt;&gt;Transferência",T_dados[DATA],"&gt;="&amp;OUT_I,T_dados[DATA],"&lt;="&amp;OUT_F)+SUMIFS(T_dados[VALOR],T_dados[CONTA],AG48,T_dados[CATEGORIA],"Transferência",T_dados[SUBCATEGORIA],"Saída",T_dados[DATA],"&gt;="&amp;OUT_I,T_dados[DATA],"&lt;="&amp;OUT_F)</f>
        <v>0</v>
      </c>
      <c r="AI59" s="29">
        <f>Table2229[[#This Row],[ENTRADA]]-Table2229[[#This Row],[SAÍDA]]</f>
        <v>0</v>
      </c>
      <c r="AJ59" s="29">
        <f>AJ58+Table2229[[#This Row],[SALDO]]</f>
        <v>0</v>
      </c>
      <c r="AO59" s="2"/>
    </row>
    <row r="60" spans="1:47" x14ac:dyDescent="0.25">
      <c r="A60" s="3" t="s">
        <v>136</v>
      </c>
      <c r="C60" s="24">
        <f>SUMIFS(T_dados[VALOR],T_dados[CONTA],C48,T_dados[CATEGORIA],"Renda",T_dados[CATEGORIA],"&lt;&gt;Transferência",T_dados[DATA],"&gt;="&amp;NOV_I,T_dados[DATA],"&lt;="&amp;NOV_F)+SUMIFS(T_dados[VALOR],T_dados[CONTA],C48,T_dados[CATEGORIA],"Transferência",T_dados[SUBCATEGORIA],"Entrada",T_dados[DATA],"&gt;="&amp;NOV_I,T_dados[DATA],"&lt;="&amp;NOV_F)</f>
        <v>0</v>
      </c>
      <c r="D60" s="24">
        <f>SUMIFS(T_dados[VALOR],T_dados[CONTA],C48,T_dados[CATEGORIA],"&lt;&gt;Renda",T_dados[CATEGORIA],"&lt;&gt;Transferência",T_dados[DATA],"&gt;="&amp;NOV_I,T_dados[DATA],"&lt;="&amp;NOV_F)+SUMIFS(T_dados[VALOR],T_dados[CONTA],C48,T_dados[CATEGORIA],"Transferência",T_dados[SUBCATEGORIA],"Saída",T_dados[DATA],"&gt;="&amp;NOV_I,T_dados[DATA],"&lt;="&amp;NOV_F)</f>
        <v>0</v>
      </c>
      <c r="E60" s="29">
        <f>Table22[[#This Row],[ENTRADA]]-Table22[[#This Row],[SAÍDA]]</f>
        <v>0</v>
      </c>
      <c r="F60" s="29">
        <f>F59+Table22[[#This Row],[SALDO]]</f>
        <v>0</v>
      </c>
      <c r="G60" s="4"/>
      <c r="H60" s="24">
        <f>SUMIFS(T_dados[VALOR],T_dados[CONTA],H48,T_dados[CATEGORIA],"Renda",T_dados[CATEGORIA],"&lt;&gt;Transferência",T_dados[DATA],"&gt;="&amp;NOV_I,T_dados[DATA],"&lt;="&amp;NOV_F)+SUMIFS(T_dados[VALOR],T_dados[CONTA],H48,T_dados[CATEGORIA],"Transferência",T_dados[SUBCATEGORIA],"Entrada",T_dados[DATA],"&gt;="&amp;NOV_I,T_dados[DATA],"&lt;="&amp;NOV_F)</f>
        <v>0</v>
      </c>
      <c r="I60" s="24">
        <f>SUMIFS(T_dados[VALOR],T_dados[CONTA],H48,T_dados[CATEGORIA],"&lt;&gt;Renda",T_dados[CATEGORIA],"&lt;&gt;Transferência",T_dados[DATA],"&gt;="&amp;NOV_I,T_dados[DATA],"&lt;="&amp;NOV_F)+SUMIFS(T_dados[VALOR],T_dados[CONTA],H48,T_dados[CATEGORIA],"Transferência",T_dados[SUBCATEGORIA],"Saída",T_dados[DATA],"&gt;="&amp;NOV_I,T_dados[DATA],"&lt;="&amp;NOV_F)</f>
        <v>0</v>
      </c>
      <c r="J60" s="29">
        <f>Table2224[[#This Row],[ENTRADA]]-Table2224[[#This Row],[SAÍDA]]</f>
        <v>0</v>
      </c>
      <c r="K60" s="29">
        <f>K59+Table2224[[#This Row],[SALDO]]</f>
        <v>0</v>
      </c>
      <c r="L60" s="4"/>
      <c r="M60" s="24">
        <f>SUMIFS(T_dados[VALOR],T_dados[CONTA],M48,T_dados[CATEGORIA],"Renda",T_dados[CATEGORIA],"&lt;&gt;Transferência",T_dados[DATA],"&gt;="&amp;NOV_I,T_dados[DATA],"&lt;="&amp;NOV_F)+SUMIFS(T_dados[VALOR],T_dados[CONTA],M48,T_dados[CATEGORIA],"Transferência",T_dados[SUBCATEGORIA],"Entrada",T_dados[DATA],"&gt;="&amp;NOV_I,T_dados[DATA],"&lt;="&amp;NOV_F)</f>
        <v>0</v>
      </c>
      <c r="N60" s="24">
        <f>SUMIFS(T_dados[VALOR],T_dados[CONTA],M48,T_dados[CATEGORIA],"&lt;&gt;Renda",T_dados[CATEGORIA],"&lt;&gt;Transferência",T_dados[DATA],"&gt;="&amp;NOV_I,T_dados[DATA],"&lt;="&amp;NOV_F)+SUMIFS(T_dados[VALOR],T_dados[CONTA],M48,T_dados[CATEGORIA],"Transferência",T_dados[SUBCATEGORIA],"Saída",T_dados[DATA],"&gt;="&amp;NOV_I,T_dados[DATA],"&lt;="&amp;NOV_F)</f>
        <v>0</v>
      </c>
      <c r="O60" s="29">
        <f>Table2225[[#This Row],[ENTRADA]]-Table2225[[#This Row],[SAÍDA]]</f>
        <v>0</v>
      </c>
      <c r="P60" s="29">
        <f>P59+Table2225[[#This Row],[SALDO]]</f>
        <v>0</v>
      </c>
      <c r="Q60" s="4"/>
      <c r="R60" s="24">
        <f>SUMIFS(T_dados[VALOR],T_dados[CONTA],R48,T_dados[CATEGORIA],"Renda",T_dados[CATEGORIA],"&lt;&gt;Transferência",T_dados[DATA],"&gt;="&amp;NOV_I,T_dados[DATA],"&lt;="&amp;NOV_F)+SUMIFS(T_dados[VALOR],T_dados[CONTA],R48,T_dados[CATEGORIA],"Transferência",T_dados[SUBCATEGORIA],"Entrada",T_dados[DATA],"&gt;="&amp;NOV_I,T_dados[DATA],"&lt;="&amp;NOV_F)</f>
        <v>0</v>
      </c>
      <c r="S60" s="24">
        <f>SUMIFS(T_dados[VALOR],T_dados[CONTA],R48,T_dados[CATEGORIA],"&lt;&gt;Renda",T_dados[CATEGORIA],"&lt;&gt;Transferência",T_dados[DATA],"&gt;="&amp;NOV_I,T_dados[DATA],"&lt;="&amp;NOV_F)+SUMIFS(T_dados[VALOR],T_dados[CONTA],R48,T_dados[CATEGORIA],"Transferência",T_dados[SUBCATEGORIA],"Saída",T_dados[DATA],"&gt;="&amp;NOV_I,T_dados[DATA],"&lt;="&amp;NOV_F)</f>
        <v>0</v>
      </c>
      <c r="T60" s="29">
        <f>Table2226[[#This Row],[ENTRADA]]-Table2226[[#This Row],[SAÍDA]]</f>
        <v>0</v>
      </c>
      <c r="U60" s="29">
        <f>U59+Table2226[[#This Row],[SALDO]]</f>
        <v>0</v>
      </c>
      <c r="V60" s="4"/>
      <c r="W60" s="24">
        <f>SUMIFS(T_dados[VALOR],T_dados[CONTA],W48,T_dados[CATEGORIA],"Renda",T_dados[CATEGORIA],"&lt;&gt;Transferência",T_dados[DATA],"&gt;="&amp;NOV_I,T_dados[DATA],"&lt;="&amp;NOV_F)+SUMIFS(T_dados[VALOR],T_dados[CONTA],W48,T_dados[CATEGORIA],"Transferência",T_dados[SUBCATEGORIA],"Entrada",T_dados[DATA],"&gt;="&amp;NOV_I,T_dados[DATA],"&lt;="&amp;NOV_F)</f>
        <v>0</v>
      </c>
      <c r="X60" s="24">
        <f>SUMIFS(T_dados[VALOR],T_dados[CONTA],W48,T_dados[CATEGORIA],"&lt;&gt;Renda",T_dados[CATEGORIA],"&lt;&gt;Transferência",T_dados[DATA],"&gt;="&amp;NOV_I,T_dados[DATA],"&lt;="&amp;NOV_F)+SUMIFS(T_dados[VALOR],T_dados[CONTA],W48,T_dados[CATEGORIA],"Transferência",T_dados[SUBCATEGORIA],"Saída",T_dados[DATA],"&gt;="&amp;NOV_I,T_dados[DATA],"&lt;="&amp;NOV_F)</f>
        <v>0</v>
      </c>
      <c r="Y60" s="29">
        <f>Table2227[[#This Row],[ENTRADA]]-Table2227[[#This Row],[SAÍDA]]</f>
        <v>0</v>
      </c>
      <c r="Z60" s="29">
        <f>Z59+Table2227[[#This Row],[SALDO]]</f>
        <v>0</v>
      </c>
      <c r="AA60" s="4"/>
      <c r="AB60" s="24">
        <f>SUMIFS(T_dados[VALOR],T_dados[CONTA],AB48,T_dados[CATEGORIA],"Renda",T_dados[CATEGORIA],"&lt;&gt;Transferência",T_dados[DATA],"&gt;="&amp;NOV_I,T_dados[DATA],"&lt;="&amp;NOV_F)+SUMIFS(T_dados[VALOR],T_dados[CONTA],AB48,T_dados[CATEGORIA],"Transferência",T_dados[SUBCATEGORIA],"Entrada",T_dados[DATA],"&gt;="&amp;NOV_I,T_dados[DATA],"&lt;="&amp;NOV_F)</f>
        <v>0</v>
      </c>
      <c r="AC60" s="24">
        <f>SUMIFS(T_dados[VALOR],T_dados[CONTA],AB48,T_dados[CATEGORIA],"&lt;&gt;Renda",T_dados[CATEGORIA],"&lt;&gt;Transferência",T_dados[DATA],"&gt;="&amp;NOV_I,T_dados[DATA],"&lt;="&amp;NOV_F)+SUMIFS(T_dados[VALOR],T_dados[CONTA],AB48,T_dados[CATEGORIA],"Transferência",T_dados[SUBCATEGORIA],"Saída",T_dados[DATA],"&gt;="&amp;NOV_I,T_dados[DATA],"&lt;="&amp;NOV_F)</f>
        <v>0</v>
      </c>
      <c r="AD60" s="29">
        <f>Table2228[[#This Row],[ENTRADA]]-Table2228[[#This Row],[SAÍDA]]</f>
        <v>0</v>
      </c>
      <c r="AE60" s="29">
        <f>AE59+Table2228[[#This Row],[SALDO]]</f>
        <v>0</v>
      </c>
      <c r="AF60" s="4"/>
      <c r="AG60" s="24">
        <f>SUMIFS(T_dados[VALOR],T_dados[CONTA],AG48,T_dados[CATEGORIA],"Renda",T_dados[CATEGORIA],"&lt;&gt;Transferência",T_dados[DATA],"&gt;="&amp;NOV_I,T_dados[DATA],"&lt;="&amp;NOV_F)+SUMIFS(T_dados[VALOR],T_dados[CONTA],AG48,T_dados[CATEGORIA],"Transferência",T_dados[SUBCATEGORIA],"Entrada",T_dados[DATA],"&gt;="&amp;NOV_I,T_dados[DATA],"&lt;="&amp;NOV_F)</f>
        <v>0</v>
      </c>
      <c r="AH60" s="24">
        <f>SUMIFS(T_dados[VALOR],T_dados[CONTA],AG48,T_dados[CATEGORIA],"&lt;&gt;Renda",T_dados[CATEGORIA],"&lt;&gt;Transferência",T_dados[DATA],"&gt;="&amp;NOV_I,T_dados[DATA],"&lt;="&amp;NOV_F)+SUMIFS(T_dados[VALOR],T_dados[CONTA],AG48,T_dados[CATEGORIA],"Transferência",T_dados[SUBCATEGORIA],"Saída",T_dados[DATA],"&gt;="&amp;NOV_I,T_dados[DATA],"&lt;="&amp;NOV_F)</f>
        <v>0</v>
      </c>
      <c r="AI60" s="29">
        <f>Table2229[[#This Row],[ENTRADA]]-Table2229[[#This Row],[SAÍDA]]</f>
        <v>0</v>
      </c>
      <c r="AJ60" s="29">
        <f>AJ59+Table2229[[#This Row],[SALDO]]</f>
        <v>0</v>
      </c>
      <c r="AO60" s="2"/>
    </row>
    <row r="61" spans="1:47" x14ac:dyDescent="0.25">
      <c r="A61" s="3" t="s">
        <v>137</v>
      </c>
      <c r="C61" s="24">
        <f>SUMIFS(T_dados[VALOR],T_dados[CONTA],C48,T_dados[CATEGORIA],"Renda",T_dados[CATEGORIA],"&lt;&gt;Transferência",T_dados[DATA],"&gt;="&amp;DEZ_I,T_dados[DATA],"&lt;="&amp;DEZ_F)+SUMIFS(T_dados[VALOR],T_dados[CONTA],C48,T_dados[CATEGORIA],"Transferência",T_dados[SUBCATEGORIA],"Entrada",T_dados[DATA],"&gt;="&amp;DEZ_I,T_dados[DATA],"&lt;="&amp;DEZ_F)</f>
        <v>0</v>
      </c>
      <c r="D61" s="24">
        <f>SUMIFS(T_dados[VALOR],T_dados[CONTA],C48,T_dados[CATEGORIA],"&lt;&gt;Renda",T_dados[CATEGORIA],"&lt;&gt;Transferência",T_dados[DATA],"&gt;="&amp;DEZ_I,T_dados[DATA],"&lt;="&amp;DEZ_F)+SUMIFS(T_dados[VALOR],T_dados[CONTA],C48,T_dados[CATEGORIA],"Transferência",T_dados[SUBCATEGORIA],"Saída",T_dados[DATA],"&gt;="&amp;DEZ_I,T_dados[DATA],"&lt;="&amp;DEZ_F)</f>
        <v>0</v>
      </c>
      <c r="E61" s="29">
        <f>Table22[[#This Row],[ENTRADA]]-Table22[[#This Row],[SAÍDA]]</f>
        <v>0</v>
      </c>
      <c r="F61" s="29">
        <f>F60+Table22[[#This Row],[SALDO]]</f>
        <v>0</v>
      </c>
      <c r="G61" s="4"/>
      <c r="H61" s="24">
        <f>SUMIFS(T_dados[VALOR],T_dados[CONTA],H48,T_dados[CATEGORIA],"Renda",T_dados[CATEGORIA],"&lt;&gt;Transferência",T_dados[DATA],"&gt;="&amp;DEZ_I,T_dados[DATA],"&lt;="&amp;DEZ_F)+SUMIFS(T_dados[VALOR],T_dados[CONTA],H48,T_dados[CATEGORIA],"Transferência",T_dados[SUBCATEGORIA],"Entrada",T_dados[DATA],"&gt;="&amp;DEZ_I,T_dados[DATA],"&lt;="&amp;DEZ_F)</f>
        <v>0</v>
      </c>
      <c r="I61" s="24">
        <f>SUMIFS(T_dados[VALOR],T_dados[CONTA],H48,T_dados[CATEGORIA],"&lt;&gt;Renda",T_dados[CATEGORIA],"&lt;&gt;Transferência",T_dados[DATA],"&gt;="&amp;DEZ_I,T_dados[DATA],"&lt;="&amp;DEZ_F)+SUMIFS(T_dados[VALOR],T_dados[CONTA],H48,T_dados[CATEGORIA],"Transferência",T_dados[SUBCATEGORIA],"Saída",T_dados[DATA],"&gt;="&amp;DEZ_I,T_dados[DATA],"&lt;="&amp;DEZ_F)</f>
        <v>0</v>
      </c>
      <c r="J61" s="29">
        <f>Table2224[[#This Row],[ENTRADA]]-Table2224[[#This Row],[SAÍDA]]</f>
        <v>0</v>
      </c>
      <c r="K61" s="29">
        <f>K60+Table2224[[#This Row],[SALDO]]</f>
        <v>0</v>
      </c>
      <c r="L61" s="4"/>
      <c r="M61" s="24">
        <f>SUMIFS(T_dados[VALOR],T_dados[CONTA],M48,T_dados[CATEGORIA],"Renda",T_dados[CATEGORIA],"&lt;&gt;Transferência",T_dados[DATA],"&gt;="&amp;DEZ_I,T_dados[DATA],"&lt;="&amp;DEZ_F)+SUMIFS(T_dados[VALOR],T_dados[CONTA],M48,T_dados[CATEGORIA],"Transferência",T_dados[SUBCATEGORIA],"Entrada",T_dados[DATA],"&gt;="&amp;DEZ_I,T_dados[DATA],"&lt;="&amp;DEZ_F)</f>
        <v>0</v>
      </c>
      <c r="N61" s="24">
        <f>SUMIFS(T_dados[VALOR],T_dados[CONTA],M48,T_dados[CATEGORIA],"&lt;&gt;Renda",T_dados[CATEGORIA],"&lt;&gt;Transferência",T_dados[DATA],"&gt;="&amp;DEZ_I,T_dados[DATA],"&lt;="&amp;DEZ_F)+SUMIFS(T_dados[VALOR],T_dados[CONTA],M48,T_dados[CATEGORIA],"Transferência",T_dados[SUBCATEGORIA],"Saída",T_dados[DATA],"&gt;="&amp;DEZ_I,T_dados[DATA],"&lt;="&amp;DEZ_F)</f>
        <v>0</v>
      </c>
      <c r="O61" s="29">
        <f>Table2225[[#This Row],[ENTRADA]]-Table2225[[#This Row],[SAÍDA]]</f>
        <v>0</v>
      </c>
      <c r="P61" s="29">
        <f>P60+Table2225[[#This Row],[SALDO]]</f>
        <v>0</v>
      </c>
      <c r="Q61" s="4"/>
      <c r="R61" s="24">
        <f>SUMIFS(T_dados[VALOR],T_dados[CONTA],R48,T_dados[CATEGORIA],"Renda",T_dados[CATEGORIA],"&lt;&gt;Transferência",T_dados[DATA],"&gt;="&amp;DEZ_I,T_dados[DATA],"&lt;="&amp;DEZ_F)+SUMIFS(T_dados[VALOR],T_dados[CONTA],R48,T_dados[CATEGORIA],"Transferência",T_dados[SUBCATEGORIA],"Entrada",T_dados[DATA],"&gt;="&amp;DEZ_I,T_dados[DATA],"&lt;="&amp;DEZ_F)</f>
        <v>0</v>
      </c>
      <c r="S61" s="24">
        <f>SUMIFS(T_dados[VALOR],T_dados[CONTA],R48,T_dados[CATEGORIA],"&lt;&gt;Renda",T_dados[CATEGORIA],"&lt;&gt;Transferência",T_dados[DATA],"&gt;="&amp;DEZ_I,T_dados[DATA],"&lt;="&amp;DEZ_F)+SUMIFS(T_dados[VALOR],T_dados[CONTA],R48,T_dados[CATEGORIA],"Transferência",T_dados[SUBCATEGORIA],"Saída",T_dados[DATA],"&gt;="&amp;DEZ_I,T_dados[DATA],"&lt;="&amp;DEZ_F)</f>
        <v>0</v>
      </c>
      <c r="T61" s="29">
        <f>Table2226[[#This Row],[ENTRADA]]-Table2226[[#This Row],[SAÍDA]]</f>
        <v>0</v>
      </c>
      <c r="U61" s="29">
        <f>U60+Table2226[[#This Row],[SALDO]]</f>
        <v>0</v>
      </c>
      <c r="V61" s="4"/>
      <c r="W61" s="24">
        <f>SUMIFS(T_dados[VALOR],T_dados[CONTA],W48,T_dados[CATEGORIA],"Renda",T_dados[CATEGORIA],"&lt;&gt;Transferência",T_dados[DATA],"&gt;="&amp;DEZ_I,T_dados[DATA],"&lt;="&amp;DEZ_F)+SUMIFS(T_dados[VALOR],T_dados[CONTA],W48,T_dados[CATEGORIA],"Transferência",T_dados[SUBCATEGORIA],"Entrada",T_dados[DATA],"&gt;="&amp;DEZ_I,T_dados[DATA],"&lt;="&amp;DEZ_F)</f>
        <v>0</v>
      </c>
      <c r="X61" s="24">
        <f>SUMIFS(T_dados[VALOR],T_dados[CONTA],W48,T_dados[CATEGORIA],"&lt;&gt;Renda",T_dados[CATEGORIA],"&lt;&gt;Transferência",T_dados[DATA],"&gt;="&amp;DEZ_I,T_dados[DATA],"&lt;="&amp;DEZ_F)+SUMIFS(T_dados[VALOR],T_dados[CONTA],W48,T_dados[CATEGORIA],"Transferência",T_dados[SUBCATEGORIA],"Saída",T_dados[DATA],"&gt;="&amp;DEZ_I,T_dados[DATA],"&lt;="&amp;DEZ_F)</f>
        <v>0</v>
      </c>
      <c r="Y61" s="29">
        <f>Table2227[[#This Row],[ENTRADA]]-Table2227[[#This Row],[SAÍDA]]</f>
        <v>0</v>
      </c>
      <c r="Z61" s="29">
        <f>Z60+Table2227[[#This Row],[SALDO]]</f>
        <v>0</v>
      </c>
      <c r="AA61" s="4"/>
      <c r="AB61" s="24">
        <f>SUMIFS(T_dados[VALOR],T_dados[CONTA],AB48,T_dados[CATEGORIA],"Renda",T_dados[CATEGORIA],"&lt;&gt;Transferência",T_dados[DATA],"&gt;="&amp;DEZ_I,T_dados[DATA],"&lt;="&amp;DEZ_F)+SUMIFS(T_dados[VALOR],T_dados[CONTA],AB48,T_dados[CATEGORIA],"Transferência",T_dados[SUBCATEGORIA],"Entrada",T_dados[DATA],"&gt;="&amp;DEZ_I,T_dados[DATA],"&lt;="&amp;DEZ_F)</f>
        <v>0</v>
      </c>
      <c r="AC61" s="24">
        <f>SUMIFS(T_dados[VALOR],T_dados[CONTA],AB48,T_dados[CATEGORIA],"&lt;&gt;Renda",T_dados[CATEGORIA],"&lt;&gt;Transferência",T_dados[DATA],"&gt;="&amp;DEZ_I,T_dados[DATA],"&lt;="&amp;DEZ_F)+SUMIFS(T_dados[VALOR],T_dados[CONTA],AB48,T_dados[CATEGORIA],"Transferência",T_dados[SUBCATEGORIA],"Saída",T_dados[DATA],"&gt;="&amp;DEZ_I,T_dados[DATA],"&lt;="&amp;DEZ_F)</f>
        <v>0</v>
      </c>
      <c r="AD61" s="29">
        <f>Table2228[[#This Row],[ENTRADA]]-Table2228[[#This Row],[SAÍDA]]</f>
        <v>0</v>
      </c>
      <c r="AE61" s="29">
        <f>AE60+Table2228[[#This Row],[SALDO]]</f>
        <v>0</v>
      </c>
      <c r="AF61" s="4"/>
      <c r="AG61" s="24">
        <f>SUMIFS(T_dados[VALOR],T_dados[CONTA],AG48,T_dados[CATEGORIA],"Renda",T_dados[CATEGORIA],"&lt;&gt;Transferência",T_dados[DATA],"&gt;="&amp;DEZ_I,T_dados[DATA],"&lt;="&amp;DEZ_F)+SUMIFS(T_dados[VALOR],T_dados[CONTA],AG48,T_dados[CATEGORIA],"Transferência",T_dados[SUBCATEGORIA],"Entrada",T_dados[DATA],"&gt;="&amp;DEZ_I,T_dados[DATA],"&lt;="&amp;DEZ_F)</f>
        <v>0</v>
      </c>
      <c r="AH61" s="24">
        <f>SUMIFS(T_dados[VALOR],T_dados[CONTA],AG48,T_dados[CATEGORIA],"&lt;&gt;Renda",T_dados[CATEGORIA],"&lt;&gt;Transferência",T_dados[DATA],"&gt;="&amp;DEZ_I,T_dados[DATA],"&lt;="&amp;DEZ_F)+SUMIFS(T_dados[VALOR],T_dados[CONTA],AG48,T_dados[CATEGORIA],"Transferência",T_dados[SUBCATEGORIA],"Saída",T_dados[DATA],"&gt;="&amp;DEZ_I,T_dados[DATA],"&lt;="&amp;DEZ_F)</f>
        <v>0</v>
      </c>
      <c r="AI61" s="29">
        <f>Table2229[[#This Row],[ENTRADA]]-Table2229[[#This Row],[SAÍDA]]</f>
        <v>0</v>
      </c>
      <c r="AJ61" s="29">
        <f>AJ60+Table2229[[#This Row],[SALDO]]</f>
        <v>0</v>
      </c>
      <c r="AO61" s="2"/>
    </row>
    <row r="62" spans="1:47" x14ac:dyDescent="0.25">
      <c r="A62" s="3" t="s">
        <v>126</v>
      </c>
      <c r="C62" s="32">
        <f>SUM(C50:C61)</f>
        <v>0</v>
      </c>
      <c r="D62" s="32">
        <f t="shared" ref="D62:F62" si="7">SUM(D50:D61)</f>
        <v>0</v>
      </c>
      <c r="E62" s="32">
        <f t="shared" si="7"/>
        <v>0</v>
      </c>
      <c r="F62" s="32">
        <f t="shared" si="7"/>
        <v>0</v>
      </c>
      <c r="G62" s="4"/>
      <c r="H62" s="32">
        <f>SUM(H50:H61)</f>
        <v>0</v>
      </c>
      <c r="I62" s="32">
        <f t="shared" ref="I62" si="8">SUM(I50:I61)</f>
        <v>0</v>
      </c>
      <c r="J62" s="32">
        <f t="shared" ref="J62" si="9">SUM(J50:J61)</f>
        <v>0</v>
      </c>
      <c r="K62" s="32">
        <f t="shared" ref="K62" si="10">SUM(K50:K61)</f>
        <v>0</v>
      </c>
      <c r="L62" s="4"/>
      <c r="M62" s="32">
        <f>SUM(M50:M61)</f>
        <v>0</v>
      </c>
      <c r="N62" s="32">
        <f t="shared" ref="N62" si="11">SUM(N50:N61)</f>
        <v>0</v>
      </c>
      <c r="O62" s="32">
        <f t="shared" ref="O62" si="12">SUM(O50:O61)</f>
        <v>0</v>
      </c>
      <c r="P62" s="32">
        <f t="shared" ref="P62" si="13">SUM(P50:P61)</f>
        <v>0</v>
      </c>
      <c r="Q62" s="4"/>
      <c r="R62" s="32">
        <f>SUM(R50:R61)</f>
        <v>0</v>
      </c>
      <c r="S62" s="32">
        <f t="shared" ref="S62" si="14">SUM(S50:S61)</f>
        <v>0</v>
      </c>
      <c r="T62" s="32">
        <f t="shared" ref="T62" si="15">SUM(T50:T61)</f>
        <v>0</v>
      </c>
      <c r="U62" s="32">
        <f t="shared" ref="U62" si="16">SUM(U50:U61)</f>
        <v>0</v>
      </c>
      <c r="V62" s="4"/>
      <c r="W62" s="31">
        <f>SUM(W50:W61)</f>
        <v>0</v>
      </c>
      <c r="X62" s="31">
        <f t="shared" ref="X62" si="17">SUM(X50:X61)</f>
        <v>0</v>
      </c>
      <c r="Y62" s="31">
        <f t="shared" ref="Y62" si="18">SUM(Y50:Y61)</f>
        <v>0</v>
      </c>
      <c r="Z62" s="31">
        <f t="shared" ref="Z62" si="19">SUM(Z50:Z61)</f>
        <v>0</v>
      </c>
      <c r="AA62" s="4"/>
      <c r="AB62" s="32">
        <f>SUM(AB50:AB61)</f>
        <v>0</v>
      </c>
      <c r="AC62" s="32">
        <f t="shared" ref="AC62" si="20">SUM(AC50:AC61)</f>
        <v>0</v>
      </c>
      <c r="AD62" s="32">
        <f t="shared" ref="AD62" si="21">SUM(AD50:AD61)</f>
        <v>0</v>
      </c>
      <c r="AE62" s="32">
        <f t="shared" ref="AE62" si="22">SUM(AE50:AE61)</f>
        <v>0</v>
      </c>
      <c r="AF62" s="4"/>
      <c r="AG62" s="32">
        <f>SUM(AG50:AG61)</f>
        <v>0</v>
      </c>
      <c r="AH62" s="32">
        <f t="shared" ref="AH62" si="23">SUM(AH50:AH61)</f>
        <v>0</v>
      </c>
      <c r="AI62" s="32">
        <f t="shared" ref="AI62" si="24">SUM(AI50:AI61)</f>
        <v>0</v>
      </c>
      <c r="AJ62" s="32">
        <f t="shared" ref="AJ62" si="25">SUM(AJ50:AJ61)</f>
        <v>0</v>
      </c>
      <c r="AL62" s="2"/>
      <c r="AN62" s="2"/>
      <c r="AO62" s="2"/>
    </row>
    <row r="64" spans="1:47" x14ac:dyDescent="0.25">
      <c r="C64" s="177" t="s">
        <v>25</v>
      </c>
      <c r="D64" s="177"/>
      <c r="E64" s="177"/>
      <c r="F64" s="177"/>
      <c r="H64" s="177" t="s">
        <v>25</v>
      </c>
      <c r="I64" s="177"/>
      <c r="J64" s="177"/>
      <c r="K64" s="177"/>
      <c r="M64" s="53" t="s">
        <v>25</v>
      </c>
      <c r="N64" s="53" t="s">
        <v>25</v>
      </c>
    </row>
    <row r="65" spans="1:14" x14ac:dyDescent="0.25">
      <c r="A65" s="3" t="s">
        <v>110</v>
      </c>
      <c r="C65" s="63" t="str">
        <f>Lista!A3</f>
        <v>Casa</v>
      </c>
      <c r="D65" s="63" t="str">
        <f>Lista!A4</f>
        <v>Alimentação</v>
      </c>
      <c r="E65" s="63" t="str">
        <f>Lista!A5</f>
        <v>Transporte</v>
      </c>
      <c r="F65" s="63" t="str">
        <f>Lista!A6</f>
        <v>Saúde</v>
      </c>
      <c r="G65" s="4"/>
      <c r="H65" s="63" t="str">
        <f>Lista!A7</f>
        <v>Pessoais</v>
      </c>
      <c r="I65" s="63" t="str">
        <f>Lista!A8</f>
        <v>Educação</v>
      </c>
      <c r="J65" s="63" t="str">
        <f>Lista!A9</f>
        <v>Lazer</v>
      </c>
      <c r="K65" s="63" t="str">
        <f>Lista!A10</f>
        <v>Diversos</v>
      </c>
      <c r="L65" s="4"/>
      <c r="M65" s="63" t="str">
        <f>Lista!A11</f>
        <v>Taxas</v>
      </c>
      <c r="N65" s="63"/>
    </row>
    <row r="66" spans="1:14" x14ac:dyDescent="0.25">
      <c r="A66" s="3" t="s">
        <v>125</v>
      </c>
      <c r="C66" s="65">
        <f>SUMIFS(T_dados[VALOR],T_dados[CATEGORIA],C65,T_dados[DATA],"&gt;="&amp;JAN_I,T_dados[DATA],"&lt;="&amp;JAN_F)</f>
        <v>0</v>
      </c>
      <c r="D66" s="65">
        <f>SUMIFS(T_dados[VALOR],T_dados[CATEGORIA],D65,T_dados[DATA],"&gt;="&amp;JAN_I,T_dados[DATA],"&lt;="&amp;JAN_F)</f>
        <v>0</v>
      </c>
      <c r="E66" s="65">
        <f>SUMIFS(T_dados[VALOR],T_dados[CATEGORIA],E65,T_dados[DATA],"&gt;="&amp;JAN_I,T_dados[DATA],"&lt;="&amp;JAN_F)</f>
        <v>0</v>
      </c>
      <c r="F66" s="65">
        <f>SUMIFS(T_dados[VALOR],T_dados[CATEGORIA],F65,T_dados[DATA],"&gt;="&amp;JAN_I,T_dados[DATA],"&lt;="&amp;JAN_F)</f>
        <v>0</v>
      </c>
      <c r="G66" s="4"/>
      <c r="H66" s="65">
        <f>SUMIFS(T_dados[VALOR],T_dados[CATEGORIA],H65,T_dados[DATA],"&gt;="&amp;JAN_I,T_dados[DATA],"&lt;="&amp;JAN_F)</f>
        <v>0</v>
      </c>
      <c r="I66" s="65">
        <f>SUMIFS(T_dados[VALOR],T_dados[CATEGORIA],I65,T_dados[DATA],"&gt;="&amp;JAN_I,T_dados[DATA],"&lt;="&amp;JAN_F)</f>
        <v>0</v>
      </c>
      <c r="J66" s="65">
        <f>SUMIFS(T_dados[VALOR],T_dados[CATEGORIA],J65,T_dados[DATA],"&gt;="&amp;JAN_I,T_dados[DATA],"&lt;="&amp;JAN_F)</f>
        <v>0</v>
      </c>
      <c r="K66" s="65">
        <f>SUMIFS(T_dados[VALOR],T_dados[CATEGORIA],K65,T_dados[DATA],"&gt;="&amp;JAN_I,T_dados[DATA],"&lt;="&amp;JAN_F)</f>
        <v>0</v>
      </c>
      <c r="L66" s="4"/>
      <c r="M66" s="65">
        <f>SUMIFS(T_dados[VALOR],T_dados[CATEGORIA],M65,T_dados[DATA],"&gt;="&amp;JAN_I,T_dados[DATA],"&lt;="&amp;JAN_F)</f>
        <v>0</v>
      </c>
      <c r="N66" s="65">
        <f>SUMIFS(T_dados[VALOR],T_dados[CATEGORIA],N65,T_dados[DATA],"&gt;="&amp;JAN_I,T_dados[DATA],"&lt;="&amp;JAN_F)</f>
        <v>0</v>
      </c>
    </row>
    <row r="67" spans="1:14" x14ac:dyDescent="0.25">
      <c r="A67" s="3" t="s">
        <v>127</v>
      </c>
      <c r="C67" s="66">
        <f>SUMIFS(T_dados[VALOR],T_dados[CATEGORIA],C65,T_dados[DATA],"&gt;="&amp;FEV_I,T_dados[DATA],"&lt;="&amp;FEV_F)</f>
        <v>0</v>
      </c>
      <c r="D67" s="66">
        <f>SUMIFS(T_dados[VALOR],T_dados[CATEGORIA],D65,T_dados[DATA],"&gt;="&amp;FEV_I,T_dados[DATA],"&lt;="&amp;FEV_F)</f>
        <v>0</v>
      </c>
      <c r="E67" s="66">
        <f>SUMIFS(T_dados[VALOR],T_dados[CATEGORIA],E65,T_dados[DATA],"&gt;="&amp;FEV_I,T_dados[DATA],"&lt;="&amp;FEV_F)</f>
        <v>0</v>
      </c>
      <c r="F67" s="66">
        <f>SUMIFS(T_dados[VALOR],T_dados[CATEGORIA],F65,T_dados[DATA],"&gt;="&amp;FEV_I,T_dados[DATA],"&lt;="&amp;FEV_F)</f>
        <v>0</v>
      </c>
      <c r="G67" s="4"/>
      <c r="H67" s="66">
        <f>SUMIFS(T_dados[VALOR],T_dados[CATEGORIA],H65,T_dados[DATA],"&gt;="&amp;FEV_I,T_dados[DATA],"&lt;="&amp;FEV_F)</f>
        <v>0</v>
      </c>
      <c r="I67" s="66">
        <f>SUMIFS(T_dados[VALOR],T_dados[CATEGORIA],I65,T_dados[DATA],"&gt;="&amp;FEV_I,T_dados[DATA],"&lt;="&amp;FEV_F)</f>
        <v>0</v>
      </c>
      <c r="J67" s="66">
        <f>SUMIFS(T_dados[VALOR],T_dados[CATEGORIA],J65,T_dados[DATA],"&gt;="&amp;FEV_I,T_dados[DATA],"&lt;="&amp;FEV_F)</f>
        <v>0</v>
      </c>
      <c r="K67" s="66">
        <f>SUMIFS(T_dados[VALOR],T_dados[CATEGORIA],K65,T_dados[DATA],"&gt;="&amp;FEV_I,T_dados[DATA],"&lt;="&amp;FEV_F)</f>
        <v>0</v>
      </c>
      <c r="L67" s="4"/>
      <c r="M67" s="66">
        <f>SUMIFS(T_dados[VALOR],T_dados[CATEGORIA],M65,T_dados[DATA],"&gt;="&amp;FEV_I,T_dados[DATA],"&lt;="&amp;FEV_F)</f>
        <v>0</v>
      </c>
      <c r="N67" s="66">
        <f>SUMIFS(T_dados[VALOR],T_dados[CATEGORIA],N65,T_dados[DATA],"&gt;="&amp;FEV_I,T_dados[DATA],"&lt;="&amp;FEV_F)</f>
        <v>0</v>
      </c>
    </row>
    <row r="68" spans="1:14" x14ac:dyDescent="0.25">
      <c r="A68" s="3" t="s">
        <v>128</v>
      </c>
      <c r="C68" s="65">
        <f>SUMIFS(T_dados[VALOR],T_dados[CATEGORIA],C65,T_dados[DATA],"&gt;="&amp;MAR_I,T_dados[DATA],"&lt;="&amp;MAR_F)</f>
        <v>0</v>
      </c>
      <c r="D68" s="65">
        <f>SUMIFS(T_dados[VALOR],T_dados[CATEGORIA],D65,T_dados[DATA],"&gt;="&amp;MAR_I,T_dados[DATA],"&lt;="&amp;MAR_F)</f>
        <v>0</v>
      </c>
      <c r="E68" s="65">
        <f>SUMIFS(T_dados[VALOR],T_dados[CATEGORIA],E65,T_dados[DATA],"&gt;="&amp;MAR_I,T_dados[DATA],"&lt;="&amp;MAR_F)</f>
        <v>0</v>
      </c>
      <c r="F68" s="65">
        <f>SUMIFS(T_dados[VALOR],T_dados[CATEGORIA],F65,T_dados[DATA],"&gt;="&amp;MAR_I,T_dados[DATA],"&lt;="&amp;MAR_F)</f>
        <v>0</v>
      </c>
      <c r="G68" s="4"/>
      <c r="H68" s="65">
        <f>SUMIFS(T_dados[VALOR],T_dados[CATEGORIA],H65,T_dados[DATA],"&gt;="&amp;MAR_I,T_dados[DATA],"&lt;="&amp;MAR_F)</f>
        <v>0</v>
      </c>
      <c r="I68" s="65">
        <f>SUMIFS(T_dados[VALOR],T_dados[CATEGORIA],I65,T_dados[DATA],"&gt;="&amp;MAR_I,T_dados[DATA],"&lt;="&amp;MAR_F)</f>
        <v>0</v>
      </c>
      <c r="J68" s="65">
        <f>SUMIFS(T_dados[VALOR],T_dados[CATEGORIA],J65,T_dados[DATA],"&gt;="&amp;MAR_I,T_dados[DATA],"&lt;="&amp;MAR_F)</f>
        <v>0</v>
      </c>
      <c r="K68" s="65">
        <f>SUMIFS(T_dados[VALOR],T_dados[CATEGORIA],K65,T_dados[DATA],"&gt;="&amp;MAR_I,T_dados[DATA],"&lt;="&amp;MAR_F)</f>
        <v>0</v>
      </c>
      <c r="L68" s="4"/>
      <c r="M68" s="65">
        <f>SUMIFS(T_dados[VALOR],T_dados[CATEGORIA],M65,T_dados[DATA],"&gt;="&amp;MAR_I,T_dados[DATA],"&lt;="&amp;MAR_F)</f>
        <v>0</v>
      </c>
      <c r="N68" s="65">
        <f>SUMIFS(T_dados[VALOR],T_dados[CATEGORIA],N65,T_dados[DATA],"&gt;="&amp;MAR_I,T_dados[DATA],"&lt;="&amp;MAR_F)</f>
        <v>0</v>
      </c>
    </row>
    <row r="69" spans="1:14" x14ac:dyDescent="0.25">
      <c r="A69" s="3" t="s">
        <v>129</v>
      </c>
      <c r="C69" s="66">
        <f>SUMIFS(T_dados[VALOR],T_dados[CATEGORIA],C65,T_dados[DATA],"&gt;="&amp;ABR_I,T_dados[DATA],"&lt;="&amp;ABR_F)</f>
        <v>0</v>
      </c>
      <c r="D69" s="66">
        <f>SUMIFS(T_dados[VALOR],T_dados[CATEGORIA],D65,T_dados[DATA],"&gt;="&amp;ABR_I,T_dados[DATA],"&lt;="&amp;ABR_F)</f>
        <v>0</v>
      </c>
      <c r="E69" s="66">
        <f>SUMIFS(T_dados[VALOR],T_dados[CATEGORIA],E65,T_dados[DATA],"&gt;="&amp;ABR_I,T_dados[DATA],"&lt;="&amp;ABR_F)</f>
        <v>0</v>
      </c>
      <c r="F69" s="66">
        <f>SUMIFS(T_dados[VALOR],T_dados[CATEGORIA],F65,T_dados[DATA],"&gt;="&amp;ABR_I,T_dados[DATA],"&lt;="&amp;ABR_F)</f>
        <v>0</v>
      </c>
      <c r="G69" s="4"/>
      <c r="H69" s="66">
        <f>SUMIFS(T_dados[VALOR],T_dados[CATEGORIA],H65,T_dados[DATA],"&gt;="&amp;ABR_I,T_dados[DATA],"&lt;="&amp;ABR_F)</f>
        <v>0</v>
      </c>
      <c r="I69" s="66">
        <f>SUMIFS(T_dados[VALOR],T_dados[CATEGORIA],I65,T_dados[DATA],"&gt;="&amp;ABR_I,T_dados[DATA],"&lt;="&amp;ABR_F)</f>
        <v>0</v>
      </c>
      <c r="J69" s="66">
        <f>SUMIFS(T_dados[VALOR],T_dados[CATEGORIA],J65,T_dados[DATA],"&gt;="&amp;ABR_I,T_dados[DATA],"&lt;="&amp;ABR_F)</f>
        <v>0</v>
      </c>
      <c r="K69" s="66">
        <f>SUMIFS(T_dados[VALOR],T_dados[CATEGORIA],K65,T_dados[DATA],"&gt;="&amp;ABR_I,T_dados[DATA],"&lt;="&amp;ABR_F)</f>
        <v>0</v>
      </c>
      <c r="L69" s="4"/>
      <c r="M69" s="66">
        <f>SUMIFS(T_dados[VALOR],T_dados[CATEGORIA],M65,T_dados[DATA],"&gt;="&amp;ABR_I,T_dados[DATA],"&lt;="&amp;ABR_F)</f>
        <v>0</v>
      </c>
      <c r="N69" s="66">
        <f>SUMIFS(T_dados[VALOR],T_dados[CATEGORIA],N65,T_dados[DATA],"&gt;="&amp;ABR_I,T_dados[DATA],"&lt;="&amp;ABR_F)</f>
        <v>0</v>
      </c>
    </row>
    <row r="70" spans="1:14" x14ac:dyDescent="0.25">
      <c r="A70" s="3" t="s">
        <v>130</v>
      </c>
      <c r="C70" s="65">
        <f>SUMIFS(T_dados[VALOR],T_dados[CATEGORIA],C65,T_dados[DATA],"&gt;="&amp;MAI_I,T_dados[DATA],"&lt;="&amp;MAI_F)</f>
        <v>0</v>
      </c>
      <c r="D70" s="65">
        <f>SUMIFS(T_dados[VALOR],T_dados[CATEGORIA],D65,T_dados[DATA],"&gt;="&amp;MAI_I,T_dados[DATA],"&lt;="&amp;MAI_F)</f>
        <v>0</v>
      </c>
      <c r="E70" s="65">
        <f>SUMIFS(T_dados[VALOR],T_dados[CATEGORIA],E65,T_dados[DATA],"&gt;="&amp;MAI_I,T_dados[DATA],"&lt;="&amp;MAI_F)</f>
        <v>0</v>
      </c>
      <c r="F70" s="65">
        <f>SUMIFS(T_dados[VALOR],T_dados[CATEGORIA],F65,T_dados[DATA],"&gt;="&amp;MAI_I,T_dados[DATA],"&lt;="&amp;MAI_F)</f>
        <v>0</v>
      </c>
      <c r="G70" s="4"/>
      <c r="H70" s="65">
        <f>SUMIFS(T_dados[VALOR],T_dados[CATEGORIA],H65,T_dados[DATA],"&gt;="&amp;MAI_I,T_dados[DATA],"&lt;="&amp;MAI_F)</f>
        <v>0</v>
      </c>
      <c r="I70" s="65">
        <f>SUMIFS(T_dados[VALOR],T_dados[CATEGORIA],I65,T_dados[DATA],"&gt;="&amp;MAI_I,T_dados[DATA],"&lt;="&amp;MAI_F)</f>
        <v>0</v>
      </c>
      <c r="J70" s="65">
        <f>SUMIFS(T_dados[VALOR],T_dados[CATEGORIA],J65,T_dados[DATA],"&gt;="&amp;MAI_I,T_dados[DATA],"&lt;="&amp;MAI_F)</f>
        <v>0</v>
      </c>
      <c r="K70" s="65">
        <f>SUMIFS(T_dados[VALOR],T_dados[CATEGORIA],K65,T_dados[DATA],"&gt;="&amp;MAI_I,T_dados[DATA],"&lt;="&amp;MAI_F)</f>
        <v>0</v>
      </c>
      <c r="L70" s="4"/>
      <c r="M70" s="65">
        <f>SUMIFS(T_dados[VALOR],T_dados[CATEGORIA],M65,T_dados[DATA],"&gt;="&amp;MAI_I,T_dados[DATA],"&lt;="&amp;MAI_F)</f>
        <v>0</v>
      </c>
      <c r="N70" s="65">
        <f>SUMIFS(T_dados[VALOR],T_dados[CATEGORIA],N65,T_dados[DATA],"&gt;="&amp;MAI_I,T_dados[DATA],"&lt;="&amp;MAI_F)</f>
        <v>0</v>
      </c>
    </row>
    <row r="71" spans="1:14" x14ac:dyDescent="0.25">
      <c r="A71" s="3" t="s">
        <v>131</v>
      </c>
      <c r="C71" s="66">
        <f>SUMIFS(T_dados[VALOR],T_dados[CATEGORIA],C65,T_dados[DATA],"&gt;="&amp;JUN_I,T_dados[DATA],"&lt;="&amp;JUN_F)</f>
        <v>0</v>
      </c>
      <c r="D71" s="66">
        <f>SUMIFS(T_dados[VALOR],T_dados[CATEGORIA],D65,T_dados[DATA],"&gt;="&amp;JUN_I,T_dados[DATA],"&lt;="&amp;JUN_F)</f>
        <v>0</v>
      </c>
      <c r="E71" s="66">
        <f>SUMIFS(T_dados[VALOR],T_dados[CATEGORIA],E65,T_dados[DATA],"&gt;="&amp;JUN_I,T_dados[DATA],"&lt;="&amp;JUN_F)</f>
        <v>0</v>
      </c>
      <c r="F71" s="66">
        <f>SUMIFS(T_dados[VALOR],T_dados[CATEGORIA],F65,T_dados[DATA],"&gt;="&amp;JUN_I,T_dados[DATA],"&lt;="&amp;JUN_F)</f>
        <v>0</v>
      </c>
      <c r="G71" s="4"/>
      <c r="H71" s="66">
        <f>SUMIFS(T_dados[VALOR],T_dados[CATEGORIA],H65,T_dados[DATA],"&gt;="&amp;JUN_I,T_dados[DATA],"&lt;="&amp;JUN_F)</f>
        <v>0</v>
      </c>
      <c r="I71" s="66">
        <f>SUMIFS(T_dados[VALOR],T_dados[CATEGORIA],I65,T_dados[DATA],"&gt;="&amp;JUN_I,T_dados[DATA],"&lt;="&amp;JUN_F)</f>
        <v>0</v>
      </c>
      <c r="J71" s="66">
        <f>SUMIFS(T_dados[VALOR],T_dados[CATEGORIA],J65,T_dados[DATA],"&gt;="&amp;JUN_I,T_dados[DATA],"&lt;="&amp;JUN_F)</f>
        <v>0</v>
      </c>
      <c r="K71" s="66">
        <f>SUMIFS(T_dados[VALOR],T_dados[CATEGORIA],K65,T_dados[DATA],"&gt;="&amp;JUN_I,T_dados[DATA],"&lt;="&amp;JUN_F)</f>
        <v>0</v>
      </c>
      <c r="L71" s="4"/>
      <c r="M71" s="66">
        <f>SUMIFS(T_dados[VALOR],T_dados[CATEGORIA],M65,T_dados[DATA],"&gt;="&amp;JUN_I,T_dados[DATA],"&lt;="&amp;JUN_F)</f>
        <v>0</v>
      </c>
      <c r="N71" s="66">
        <f>SUMIFS(T_dados[VALOR],T_dados[CATEGORIA],N65,T_dados[DATA],"&gt;="&amp;JUN_I,T_dados[DATA],"&lt;="&amp;JUN_F)</f>
        <v>0</v>
      </c>
    </row>
    <row r="72" spans="1:14" x14ac:dyDescent="0.25">
      <c r="A72" s="3" t="s">
        <v>132</v>
      </c>
      <c r="C72" s="65">
        <f>SUMIFS(T_dados[VALOR],T_dados[CATEGORIA],C65,T_dados[DATA],"&gt;="&amp;JUL_I,T_dados[DATA],"&lt;="&amp;JUL_F)</f>
        <v>0</v>
      </c>
      <c r="D72" s="65">
        <f>SUMIFS(T_dados[VALOR],T_dados[CATEGORIA],D65,T_dados[DATA],"&gt;="&amp;JUL_I,T_dados[DATA],"&lt;="&amp;JUL_F)</f>
        <v>0</v>
      </c>
      <c r="E72" s="65">
        <f>SUMIFS(T_dados[VALOR],T_dados[CATEGORIA],E65,T_dados[DATA],"&gt;="&amp;JUL_I,T_dados[DATA],"&lt;="&amp;JUL_F)</f>
        <v>0</v>
      </c>
      <c r="F72" s="65">
        <f>SUMIFS(T_dados[VALOR],T_dados[CATEGORIA],F65,T_dados[DATA],"&gt;="&amp;JUL_I,T_dados[DATA],"&lt;="&amp;JUL_F)</f>
        <v>0</v>
      </c>
      <c r="G72" s="4"/>
      <c r="H72" s="65">
        <f>SUMIFS(T_dados[VALOR],T_dados[CATEGORIA],H65,T_dados[DATA],"&gt;="&amp;JUL_I,T_dados[DATA],"&lt;="&amp;JUL_F)</f>
        <v>0</v>
      </c>
      <c r="I72" s="65">
        <f>SUMIFS(T_dados[VALOR],T_dados[CATEGORIA],I65,T_dados[DATA],"&gt;="&amp;JUL_I,T_dados[DATA],"&lt;="&amp;JUL_F)</f>
        <v>0</v>
      </c>
      <c r="J72" s="65">
        <f>SUMIFS(T_dados[VALOR],T_dados[CATEGORIA],J65,T_dados[DATA],"&gt;="&amp;JUL_I,T_dados[DATA],"&lt;="&amp;JUL_F)</f>
        <v>0</v>
      </c>
      <c r="K72" s="65">
        <f>SUMIFS(T_dados[VALOR],T_dados[CATEGORIA],K65,T_dados[DATA],"&gt;="&amp;JUL_I,T_dados[DATA],"&lt;="&amp;JUL_F)</f>
        <v>0</v>
      </c>
      <c r="L72" s="4"/>
      <c r="M72" s="65">
        <f>SUMIFS(T_dados[VALOR],T_dados[CATEGORIA],M65,T_dados[DATA],"&gt;="&amp;JUL_I,T_dados[DATA],"&lt;="&amp;JUL_F)</f>
        <v>0</v>
      </c>
      <c r="N72" s="65">
        <f>SUMIFS(T_dados[VALOR],T_dados[CATEGORIA],N65,T_dados[DATA],"&gt;="&amp;JUL_I,T_dados[DATA],"&lt;="&amp;JUL_F)</f>
        <v>0</v>
      </c>
    </row>
    <row r="73" spans="1:14" x14ac:dyDescent="0.25">
      <c r="A73" s="3" t="s">
        <v>133</v>
      </c>
      <c r="C73" s="66">
        <f>SUMIFS(T_dados[VALOR],T_dados[CATEGORIA],C65,T_dados[DATA],"&gt;="&amp;AGO_I,T_dados[DATA],"&lt;="&amp;AGO_F)</f>
        <v>0</v>
      </c>
      <c r="D73" s="66">
        <f>SUMIFS(T_dados[VALOR],T_dados[CATEGORIA],D65,T_dados[DATA],"&gt;="&amp;AGO_I,T_dados[DATA],"&lt;="&amp;AGO_F)</f>
        <v>0</v>
      </c>
      <c r="E73" s="66">
        <f>SUMIFS(T_dados[VALOR],T_dados[CATEGORIA],E65,T_dados[DATA],"&gt;="&amp;AGO_I,T_dados[DATA],"&lt;="&amp;AGO_F)</f>
        <v>0</v>
      </c>
      <c r="F73" s="66">
        <f>SUMIFS(T_dados[VALOR],T_dados[CATEGORIA],F65,T_dados[DATA],"&gt;="&amp;AGO_I,T_dados[DATA],"&lt;="&amp;AGO_F)</f>
        <v>0</v>
      </c>
      <c r="G73" s="4"/>
      <c r="H73" s="66">
        <f>SUMIFS(T_dados[VALOR],T_dados[CATEGORIA],H65,T_dados[DATA],"&gt;="&amp;AGO_I,T_dados[DATA],"&lt;="&amp;AGO_F)</f>
        <v>0</v>
      </c>
      <c r="I73" s="66">
        <f>SUMIFS(T_dados[VALOR],T_dados[CATEGORIA],I65,T_dados[DATA],"&gt;="&amp;AGO_I,T_dados[DATA],"&lt;="&amp;AGO_F)</f>
        <v>0</v>
      </c>
      <c r="J73" s="66">
        <f>SUMIFS(T_dados[VALOR],T_dados[CATEGORIA],J65,T_dados[DATA],"&gt;="&amp;AGO_I,T_dados[DATA],"&lt;="&amp;AGO_F)</f>
        <v>0</v>
      </c>
      <c r="K73" s="66">
        <f>SUMIFS(T_dados[VALOR],T_dados[CATEGORIA],K65,T_dados[DATA],"&gt;="&amp;AGO_I,T_dados[DATA],"&lt;="&amp;AGO_F)</f>
        <v>0</v>
      </c>
      <c r="L73" s="4"/>
      <c r="M73" s="66">
        <f>SUMIFS(T_dados[VALOR],T_dados[CATEGORIA],M65,T_dados[DATA],"&gt;="&amp;AGO_I,T_dados[DATA],"&lt;="&amp;AGO_F)</f>
        <v>0</v>
      </c>
      <c r="N73" s="66">
        <f>SUMIFS(T_dados[VALOR],T_dados[CATEGORIA],N65,T_dados[DATA],"&gt;="&amp;AGO_I,T_dados[DATA],"&lt;="&amp;AGO_F)</f>
        <v>0</v>
      </c>
    </row>
    <row r="74" spans="1:14" x14ac:dyDescent="0.25">
      <c r="A74" s="3" t="s">
        <v>134</v>
      </c>
      <c r="C74" s="65">
        <f>SUMIFS(T_dados[VALOR],T_dados[CATEGORIA],C65,T_dados[DATA],"&gt;="&amp;SET_I,T_dados[DATA],"&lt;="&amp;SET_F)</f>
        <v>0</v>
      </c>
      <c r="D74" s="65">
        <f>SUMIFS(T_dados[VALOR],T_dados[CATEGORIA],D65,T_dados[DATA],"&gt;="&amp;SET_I,T_dados[DATA],"&lt;="&amp;SET_F)</f>
        <v>0</v>
      </c>
      <c r="E74" s="65">
        <f>SUMIFS(T_dados[VALOR],T_dados[CATEGORIA],E65,T_dados[DATA],"&gt;="&amp;SET_I,T_dados[DATA],"&lt;="&amp;SET_F)</f>
        <v>0</v>
      </c>
      <c r="F74" s="65">
        <f>SUMIFS(T_dados[VALOR],T_dados[CATEGORIA],F65,T_dados[DATA],"&gt;="&amp;SET_I,T_dados[DATA],"&lt;="&amp;SET_F)</f>
        <v>0</v>
      </c>
      <c r="G74" s="4"/>
      <c r="H74" s="65">
        <f>SUMIFS(T_dados[VALOR],T_dados[CATEGORIA],H65,T_dados[DATA],"&gt;="&amp;SET_I,T_dados[DATA],"&lt;="&amp;SET_F)</f>
        <v>0</v>
      </c>
      <c r="I74" s="65">
        <f>SUMIFS(T_dados[VALOR],T_dados[CATEGORIA],I65,T_dados[DATA],"&gt;="&amp;SET_I,T_dados[DATA],"&lt;="&amp;SET_F)</f>
        <v>0</v>
      </c>
      <c r="J74" s="65">
        <f>SUMIFS(T_dados[VALOR],T_dados[CATEGORIA],J65,T_dados[DATA],"&gt;="&amp;SET_I,T_dados[DATA],"&lt;="&amp;SET_F)</f>
        <v>0</v>
      </c>
      <c r="K74" s="65">
        <f>SUMIFS(T_dados[VALOR],T_dados[CATEGORIA],K65,T_dados[DATA],"&gt;="&amp;SET_I,T_dados[DATA],"&lt;="&amp;SET_F)</f>
        <v>0</v>
      </c>
      <c r="L74" s="4"/>
      <c r="M74" s="65">
        <f>SUMIFS(T_dados[VALOR],T_dados[CATEGORIA],M65,T_dados[DATA],"&gt;="&amp;SET_I,T_dados[DATA],"&lt;="&amp;SET_F)</f>
        <v>0</v>
      </c>
      <c r="N74" s="65">
        <f>SUMIFS(T_dados[VALOR],T_dados[CATEGORIA],N65,T_dados[DATA],"&gt;="&amp;SET_I,T_dados[DATA],"&lt;="&amp;SET_F)</f>
        <v>0</v>
      </c>
    </row>
    <row r="75" spans="1:14" x14ac:dyDescent="0.25">
      <c r="A75" s="3" t="s">
        <v>135</v>
      </c>
      <c r="C75" s="66">
        <f>SUMIFS(T_dados[VALOR],T_dados[CATEGORIA],C65,T_dados[DATA],"&gt;="&amp;OUT_I,T_dados[DATA],"&lt;="&amp;OUT_F)</f>
        <v>0</v>
      </c>
      <c r="D75" s="66">
        <f>SUMIFS(T_dados[VALOR],T_dados[CATEGORIA],D65,T_dados[DATA],"&gt;="&amp;OUT_I,T_dados[DATA],"&lt;="&amp;OUT_F)</f>
        <v>0</v>
      </c>
      <c r="E75" s="66">
        <f>SUMIFS(T_dados[VALOR],T_dados[CATEGORIA],E65,T_dados[DATA],"&gt;="&amp;OUT_I,T_dados[DATA],"&lt;="&amp;OUT_F)</f>
        <v>0</v>
      </c>
      <c r="F75" s="66">
        <f>SUMIFS(T_dados[VALOR],T_dados[CATEGORIA],F65,T_dados[DATA],"&gt;="&amp;OUT_I,T_dados[DATA],"&lt;="&amp;OUT_F)</f>
        <v>0</v>
      </c>
      <c r="G75" s="4"/>
      <c r="H75" s="66">
        <f>SUMIFS(T_dados[VALOR],T_dados[CATEGORIA],H65,T_dados[DATA],"&gt;="&amp;OUT_I,T_dados[DATA],"&lt;="&amp;OUT_F)</f>
        <v>0</v>
      </c>
      <c r="I75" s="66">
        <f>SUMIFS(T_dados[VALOR],T_dados[CATEGORIA],I65,T_dados[DATA],"&gt;="&amp;OUT_I,T_dados[DATA],"&lt;="&amp;OUT_F)</f>
        <v>0</v>
      </c>
      <c r="J75" s="66">
        <f>SUMIFS(T_dados[VALOR],T_dados[CATEGORIA],J65,T_dados[DATA],"&gt;="&amp;OUT_I,T_dados[DATA],"&lt;="&amp;OUT_F)</f>
        <v>0</v>
      </c>
      <c r="K75" s="66">
        <f>SUMIFS(T_dados[VALOR],T_dados[CATEGORIA],K65,T_dados[DATA],"&gt;="&amp;OUT_I,T_dados[DATA],"&lt;="&amp;OUT_F)</f>
        <v>0</v>
      </c>
      <c r="L75" s="4"/>
      <c r="M75" s="66">
        <f>SUMIFS(T_dados[VALOR],T_dados[CATEGORIA],M65,T_dados[DATA],"&gt;="&amp;OUT_I,T_dados[DATA],"&lt;="&amp;OUT_F)</f>
        <v>0</v>
      </c>
      <c r="N75" s="66">
        <f>SUMIFS(T_dados[VALOR],T_dados[CATEGORIA],N65,T_dados[DATA],"&gt;="&amp;OUT_I,T_dados[DATA],"&lt;="&amp;OUT_F)</f>
        <v>0</v>
      </c>
    </row>
    <row r="76" spans="1:14" x14ac:dyDescent="0.25">
      <c r="A76" s="3" t="s">
        <v>136</v>
      </c>
      <c r="C76" s="65">
        <f>SUMIFS(T_dados[VALOR],T_dados[CATEGORIA],C65,T_dados[DATA],"&gt;="&amp;NOV_I,T_dados[DATA],"&lt;="&amp;NOV_F)</f>
        <v>0</v>
      </c>
      <c r="D76" s="65">
        <f>SUMIFS(T_dados[VALOR],T_dados[CATEGORIA],D65,T_dados[DATA],"&gt;="&amp;NOV_I,T_dados[DATA],"&lt;="&amp;NOV_F)</f>
        <v>0</v>
      </c>
      <c r="E76" s="65">
        <f>SUMIFS(T_dados[VALOR],T_dados[CATEGORIA],E65,T_dados[DATA],"&gt;="&amp;NOV_I,T_dados[DATA],"&lt;="&amp;NOV_F)</f>
        <v>0</v>
      </c>
      <c r="F76" s="65">
        <f>SUMIFS(T_dados[VALOR],T_dados[CATEGORIA],F65,T_dados[DATA],"&gt;="&amp;NOV_I,T_dados[DATA],"&lt;="&amp;NOV_F)</f>
        <v>0</v>
      </c>
      <c r="G76" s="4"/>
      <c r="H76" s="65">
        <f>SUMIFS(T_dados[VALOR],T_dados[CATEGORIA],H65,T_dados[DATA],"&gt;="&amp;NOV_I,T_dados[DATA],"&lt;="&amp;NOV_F)</f>
        <v>0</v>
      </c>
      <c r="I76" s="65">
        <f>SUMIFS(T_dados[VALOR],T_dados[CATEGORIA],I65,T_dados[DATA],"&gt;="&amp;NOV_I,T_dados[DATA],"&lt;="&amp;NOV_F)</f>
        <v>0</v>
      </c>
      <c r="J76" s="65">
        <f>SUMIFS(T_dados[VALOR],T_dados[CATEGORIA],J65,T_dados[DATA],"&gt;="&amp;NOV_I,T_dados[DATA],"&lt;="&amp;NOV_F)</f>
        <v>0</v>
      </c>
      <c r="K76" s="65">
        <f>SUMIFS(T_dados[VALOR],T_dados[CATEGORIA],K65,T_dados[DATA],"&gt;="&amp;NOV_I,T_dados[DATA],"&lt;="&amp;NOV_F)</f>
        <v>0</v>
      </c>
      <c r="L76" s="4"/>
      <c r="M76" s="65">
        <f>SUMIFS(T_dados[VALOR],T_dados[CATEGORIA],M65,T_dados[DATA],"&gt;="&amp;NOV_I,T_dados[DATA],"&lt;="&amp;NOV_F)</f>
        <v>0</v>
      </c>
      <c r="N76" s="65">
        <f>SUMIFS(T_dados[VALOR],T_dados[CATEGORIA],N65,T_dados[DATA],"&gt;="&amp;NOV_I,T_dados[DATA],"&lt;="&amp;NOV_F)</f>
        <v>0</v>
      </c>
    </row>
    <row r="77" spans="1:14" x14ac:dyDescent="0.25">
      <c r="A77" s="3" t="s">
        <v>137</v>
      </c>
      <c r="C77" s="66">
        <f>SUMIFS(T_dados[VALOR],T_dados[CATEGORIA],C65,T_dados[DATA],"&gt;="&amp;DEZ_I,T_dados[DATA],"&lt;="&amp;DEZ_F)</f>
        <v>0</v>
      </c>
      <c r="D77" s="66">
        <f>SUMIFS(T_dados[VALOR],T_dados[CATEGORIA],D65,T_dados[DATA],"&gt;="&amp;DEZ_I,T_dados[DATA],"&lt;="&amp;DEZ_F)</f>
        <v>0</v>
      </c>
      <c r="E77" s="66">
        <f>SUMIFS(T_dados[VALOR],T_dados[CATEGORIA],E65,T_dados[DATA],"&gt;="&amp;DEZ_I,T_dados[DATA],"&lt;="&amp;DEZ_F)</f>
        <v>0</v>
      </c>
      <c r="F77" s="66">
        <f>SUMIFS(T_dados[VALOR],T_dados[CATEGORIA],F65,T_dados[DATA],"&gt;="&amp;DEZ_I,T_dados[DATA],"&lt;="&amp;DEZ_F)</f>
        <v>0</v>
      </c>
      <c r="G77" s="4"/>
      <c r="H77" s="66">
        <f>SUMIFS(T_dados[VALOR],T_dados[CATEGORIA],H65,T_dados[DATA],"&gt;="&amp;DEZ_I,T_dados[DATA],"&lt;="&amp;DEZ_F)</f>
        <v>0</v>
      </c>
      <c r="I77" s="66">
        <f>SUMIFS(T_dados[VALOR],T_dados[CATEGORIA],I65,T_dados[DATA],"&gt;="&amp;DEZ_I,T_dados[DATA],"&lt;="&amp;DEZ_F)</f>
        <v>0</v>
      </c>
      <c r="J77" s="66">
        <f>SUMIFS(T_dados[VALOR],T_dados[CATEGORIA],J65,T_dados[DATA],"&gt;="&amp;DEZ_I,T_dados[DATA],"&lt;="&amp;DEZ_F)</f>
        <v>0</v>
      </c>
      <c r="K77" s="66">
        <f>SUMIFS(T_dados[VALOR],T_dados[CATEGORIA],K65,T_dados[DATA],"&gt;="&amp;DEZ_I,T_dados[DATA],"&lt;="&amp;DEZ_F)</f>
        <v>0</v>
      </c>
      <c r="L77" s="4"/>
      <c r="M77" s="66">
        <f>SUMIFS(T_dados[VALOR],T_dados[CATEGORIA],M65,T_dados[DATA],"&gt;="&amp;DEZ_I,T_dados[DATA],"&lt;="&amp;DEZ_F)</f>
        <v>0</v>
      </c>
      <c r="N77" s="66">
        <f>SUMIFS(T_dados[VALOR],T_dados[CATEGORIA],N65,T_dados[DATA],"&gt;="&amp;DEZ_I,T_dados[DATA],"&lt;="&amp;DEZ_F)</f>
        <v>0</v>
      </c>
    </row>
    <row r="78" spans="1:14" x14ac:dyDescent="0.25">
      <c r="A78" s="3" t="s">
        <v>126</v>
      </c>
      <c r="C78" s="54">
        <f>SUM(C66:C77)</f>
        <v>0</v>
      </c>
      <c r="D78" s="54">
        <f t="shared" ref="D78:F78" si="26">SUM(D66:D77)</f>
        <v>0</v>
      </c>
      <c r="E78" s="54">
        <f t="shared" si="26"/>
        <v>0</v>
      </c>
      <c r="F78" s="54">
        <f t="shared" si="26"/>
        <v>0</v>
      </c>
      <c r="H78" s="54">
        <f>SUM(H66:H77)</f>
        <v>0</v>
      </c>
      <c r="I78" s="54">
        <f t="shared" ref="I78:K78" si="27">SUM(I66:I77)</f>
        <v>0</v>
      </c>
      <c r="J78" s="54">
        <f t="shared" si="27"/>
        <v>0</v>
      </c>
      <c r="K78" s="54">
        <f t="shared" si="27"/>
        <v>0</v>
      </c>
      <c r="M78" s="54">
        <f>SUM(M66:M77)</f>
        <v>0</v>
      </c>
      <c r="N78" s="54">
        <f>SUM(N66:N77)</f>
        <v>0</v>
      </c>
    </row>
    <row r="81" spans="1:20" x14ac:dyDescent="0.25">
      <c r="A81" s="3" t="s">
        <v>110</v>
      </c>
      <c r="C81" s="69" t="s">
        <v>169</v>
      </c>
      <c r="D81" s="69" t="s">
        <v>174</v>
      </c>
      <c r="H81" s="76" t="s">
        <v>194</v>
      </c>
      <c r="I81" s="76" t="s">
        <v>174</v>
      </c>
      <c r="M81" s="78" t="s">
        <v>195</v>
      </c>
      <c r="N81" s="78" t="s">
        <v>174</v>
      </c>
      <c r="R81" s="80" t="s">
        <v>196</v>
      </c>
      <c r="S81" s="80" t="s">
        <v>197</v>
      </c>
      <c r="T81" s="80" t="s">
        <v>198</v>
      </c>
    </row>
    <row r="82" spans="1:20" x14ac:dyDescent="0.25">
      <c r="A82" s="3" t="s">
        <v>125</v>
      </c>
      <c r="C82" s="7" t="str">
        <f>C16</f>
        <v>Conta Corrente 1</v>
      </c>
      <c r="D82" s="65" cm="1">
        <f t="array" ref="D82">INDEX(F18:F30,$C$2)</f>
        <v>0</v>
      </c>
      <c r="H82" s="7" t="str">
        <f>C32</f>
        <v>Cartão de Crédito 1</v>
      </c>
      <c r="I82" s="65" cm="1">
        <f t="array" ref="I82">INDEX(F34:F46,$C$2)</f>
        <v>0</v>
      </c>
      <c r="M82" s="7" t="str">
        <f>C48</f>
        <v>Curto</v>
      </c>
      <c r="N82" s="65" cm="1">
        <f t="array" ref="N82">INDEX(F50:F62,$C$2)</f>
        <v>0</v>
      </c>
      <c r="R82" s="7" t="str">
        <f>C65</f>
        <v>Casa</v>
      </c>
      <c r="S82" s="65" cm="1">
        <f t="array" ref="S82">INDEX(C$66:C$78,$C$2)</f>
        <v>0</v>
      </c>
      <c r="T82" s="65">
        <f>Orçamento!B39</f>
        <v>0</v>
      </c>
    </row>
    <row r="83" spans="1:20" x14ac:dyDescent="0.25">
      <c r="A83" s="3" t="s">
        <v>127</v>
      </c>
      <c r="C83" s="75" t="str">
        <f>H16</f>
        <v>Conta Corrente 2</v>
      </c>
      <c r="D83" s="81" cm="1">
        <f t="array" ref="D83">INDEX(K18:K30,$C$2)</f>
        <v>0</v>
      </c>
      <c r="H83" s="77" t="str">
        <f>H32</f>
        <v>Cartão de Crédito 2</v>
      </c>
      <c r="I83" s="82" cm="1">
        <f t="array" ref="I83">INDEX(K34:K46,$C$2)</f>
        <v>0</v>
      </c>
      <c r="M83" s="79" t="str">
        <f>H48</f>
        <v>Médio</v>
      </c>
      <c r="N83" s="83" cm="1">
        <f t="array" ref="N83">INDEX(K50:K62,$C$2)</f>
        <v>0</v>
      </c>
      <c r="R83" s="64" t="str">
        <f>D65</f>
        <v>Alimentação</v>
      </c>
      <c r="S83" s="66" cm="1">
        <f t="array" ref="S83">INDEX(D$66:D$78,$C$2)</f>
        <v>0</v>
      </c>
      <c r="T83" s="66">
        <f>Orçamento!B40</f>
        <v>0</v>
      </c>
    </row>
    <row r="84" spans="1:20" x14ac:dyDescent="0.25">
      <c r="A84" s="3" t="s">
        <v>128</v>
      </c>
      <c r="C84" s="7" t="str">
        <f>M16</f>
        <v>Carteira 1</v>
      </c>
      <c r="D84" s="65" cm="1">
        <f t="array" ref="D84">INDEX(P18:P30,$C$2)</f>
        <v>0</v>
      </c>
      <c r="H84" s="7" t="str">
        <f>M32</f>
        <v>Cartão de Crédito 3</v>
      </c>
      <c r="I84" s="65" cm="1">
        <f t="array" ref="I84">INDEX(P34:P46,$C$2)</f>
        <v>0</v>
      </c>
      <c r="M84" s="7" t="str">
        <f>M48</f>
        <v>Longo</v>
      </c>
      <c r="N84" s="65" cm="1">
        <f t="array" ref="N84">INDEX(P50:P62,$C$2)</f>
        <v>0</v>
      </c>
      <c r="R84" s="7" t="str">
        <f>E65</f>
        <v>Transporte</v>
      </c>
      <c r="S84" s="65" cm="1">
        <f t="array" ref="S84">INDEX(E$66:E$78,$C$2)</f>
        <v>0</v>
      </c>
      <c r="T84" s="65">
        <f>Orçamento!B41</f>
        <v>0</v>
      </c>
    </row>
    <row r="85" spans="1:20" x14ac:dyDescent="0.25">
      <c r="A85" s="3" t="s">
        <v>129</v>
      </c>
      <c r="C85" s="75" t="str">
        <f>R16</f>
        <v>Carteira 2</v>
      </c>
      <c r="D85" s="81" cm="1">
        <f t="array" ref="D85">INDEX(U18:U30,$C$2)</f>
        <v>0</v>
      </c>
      <c r="M85" s="79" t="str">
        <f>R48</f>
        <v>Reserva</v>
      </c>
      <c r="N85" s="83" cm="1">
        <f t="array" ref="N85">INDEX(U50:U62,$C$2)</f>
        <v>0</v>
      </c>
      <c r="R85" s="64" t="str">
        <f>F65</f>
        <v>Saúde</v>
      </c>
      <c r="S85" s="66" cm="1">
        <f t="array" ref="S85">INDEX(F$66:F$78,$C$2)</f>
        <v>0</v>
      </c>
      <c r="T85" s="66">
        <f>Orçamento!B42</f>
        <v>0</v>
      </c>
    </row>
    <row r="86" spans="1:20" x14ac:dyDescent="0.25">
      <c r="A86" s="3" t="s">
        <v>130</v>
      </c>
      <c r="M86" s="7" t="str">
        <f>W48</f>
        <v>Viagens</v>
      </c>
      <c r="N86" s="65" cm="1">
        <f t="array" ref="N86">INDEX(Z50:Z62,$C$2)</f>
        <v>0</v>
      </c>
      <c r="R86" s="7" t="str">
        <f>H65</f>
        <v>Pessoais</v>
      </c>
      <c r="S86" s="65" cm="1">
        <f t="array" ref="S86">INDEX(H$66:H$78,$C$2)</f>
        <v>0</v>
      </c>
      <c r="T86" s="65">
        <f>Orçamento!B43</f>
        <v>0</v>
      </c>
    </row>
    <row r="87" spans="1:20" x14ac:dyDescent="0.25">
      <c r="A87" s="3" t="s">
        <v>131</v>
      </c>
      <c r="M87" s="79" t="str">
        <f>AB48</f>
        <v>Educação</v>
      </c>
      <c r="N87" s="83" cm="1">
        <f t="array" ref="N87">INDEX(AE50:AE62,$C$2)</f>
        <v>0</v>
      </c>
      <c r="R87" s="64" t="str">
        <f>I65</f>
        <v>Educação</v>
      </c>
      <c r="S87" s="66" cm="1">
        <f t="array" ref="S87">INDEX(I$66:I$78,$C$2)</f>
        <v>0</v>
      </c>
      <c r="T87" s="66">
        <f>Orçamento!B44</f>
        <v>0</v>
      </c>
    </row>
    <row r="88" spans="1:20" x14ac:dyDescent="0.25">
      <c r="A88" s="3" t="s">
        <v>132</v>
      </c>
      <c r="R88" s="7" t="str">
        <f>J65</f>
        <v>Lazer</v>
      </c>
      <c r="S88" s="65" cm="1">
        <f t="array" ref="S88">INDEX(J$66:J$78,$C$2)</f>
        <v>0</v>
      </c>
      <c r="T88" s="65">
        <f>Orçamento!B45</f>
        <v>0</v>
      </c>
    </row>
    <row r="89" spans="1:20" x14ac:dyDescent="0.25">
      <c r="A89" s="3" t="s">
        <v>133</v>
      </c>
      <c r="R89" s="64" t="str">
        <f>K65</f>
        <v>Diversos</v>
      </c>
      <c r="S89" s="66" cm="1">
        <f t="array" ref="S89">INDEX(K$66:K$78,$C$2)</f>
        <v>0</v>
      </c>
      <c r="T89" s="66">
        <f>Orçamento!B46</f>
        <v>0</v>
      </c>
    </row>
    <row r="90" spans="1:20" x14ac:dyDescent="0.25">
      <c r="A90" s="3" t="s">
        <v>134</v>
      </c>
      <c r="R90" s="7" t="str">
        <f>M65</f>
        <v>Taxas</v>
      </c>
      <c r="S90" s="65" cm="1">
        <f t="array" ref="S90">INDEX(M$66:M$78,$C$2)</f>
        <v>0</v>
      </c>
      <c r="T90" s="65">
        <f>Orçamento!B47</f>
        <v>0</v>
      </c>
    </row>
    <row r="91" spans="1:20" x14ac:dyDescent="0.25">
      <c r="A91" s="3" t="s">
        <v>135</v>
      </c>
    </row>
    <row r="92" spans="1:20" x14ac:dyDescent="0.25">
      <c r="A92" s="3" t="s">
        <v>136</v>
      </c>
    </row>
    <row r="93" spans="1:20" x14ac:dyDescent="0.25">
      <c r="A93" s="3" t="s">
        <v>137</v>
      </c>
    </row>
    <row r="94" spans="1:20" x14ac:dyDescent="0.25">
      <c r="A94" s="3" t="s">
        <v>126</v>
      </c>
    </row>
  </sheetData>
  <sheetProtection algorithmName="SHA-512" hashValue="R9tIHQZehTGE1YwHGj4W5PmsPFrDrK74DN2TF5I4OKSy3SmKnNBjOdu5C9FFbjfGFg/E1Ur6MG0bA0yMfv616g==" saltValue="GWXHRJCWTOoy8+loKG0hsA==" spinCount="100000" sheet="1" objects="1" scenarios="1"/>
  <mergeCells count="18">
    <mergeCell ref="AB48:AE48"/>
    <mergeCell ref="R32:U32"/>
    <mergeCell ref="W16:Z16"/>
    <mergeCell ref="R16:U16"/>
    <mergeCell ref="C64:F64"/>
    <mergeCell ref="H64:K64"/>
    <mergeCell ref="AG48:AJ48"/>
    <mergeCell ref="C16:F16"/>
    <mergeCell ref="H16:K16"/>
    <mergeCell ref="M16:P16"/>
    <mergeCell ref="C32:F32"/>
    <mergeCell ref="H32:K32"/>
    <mergeCell ref="M32:P32"/>
    <mergeCell ref="C48:F48"/>
    <mergeCell ref="H48:K48"/>
    <mergeCell ref="M48:P48"/>
    <mergeCell ref="R48:U48"/>
    <mergeCell ref="W48:Z48"/>
  </mergeCells>
  <pageMargins left="0.7" right="0.7" top="0.75" bottom="0.75" header="0.3" footer="0.3"/>
  <ignoredErrors>
    <ignoredError sqref="E30 J30" formula="1"/>
    <ignoredError sqref="S2:S13" calculatedColumn="1"/>
  </ignoredErrors>
  <tableParts count="25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57</vt:i4>
      </vt:variant>
    </vt:vector>
  </HeadingPairs>
  <TitlesOfParts>
    <vt:vector size="64" baseType="lpstr">
      <vt:lpstr>Dashboard</vt:lpstr>
      <vt:lpstr>Resumo</vt:lpstr>
      <vt:lpstr>Dados</vt:lpstr>
      <vt:lpstr>Orçamento</vt:lpstr>
      <vt:lpstr>Instruções</vt:lpstr>
      <vt:lpstr>Lista</vt:lpstr>
      <vt:lpstr>Cálculos</vt:lpstr>
      <vt:lpstr>ABR_F</vt:lpstr>
      <vt:lpstr>ABR_I</vt:lpstr>
      <vt:lpstr>AGO_F</vt:lpstr>
      <vt:lpstr>AGO_I</vt:lpstr>
      <vt:lpstr>Alimentação</vt:lpstr>
      <vt:lpstr>Casa</vt:lpstr>
      <vt:lpstr>CATEGORIA</vt:lpstr>
      <vt:lpstr>CC</vt:lpstr>
      <vt:lpstr>Cont</vt:lpstr>
      <vt:lpstr>CONTA</vt:lpstr>
      <vt:lpstr>DATA</vt:lpstr>
      <vt:lpstr>Def_Orç</vt:lpstr>
      <vt:lpstr>DESCRIÇÃO</vt:lpstr>
      <vt:lpstr>DEZ_F</vt:lpstr>
      <vt:lpstr>DEZ_I</vt:lpstr>
      <vt:lpstr>Diversos</vt:lpstr>
      <vt:lpstr>Educação</vt:lpstr>
      <vt:lpstr>FEV_F</vt:lpstr>
      <vt:lpstr>FEV_I</vt:lpstr>
      <vt:lpstr>In</vt:lpstr>
      <vt:lpstr>InvS</vt:lpstr>
      <vt:lpstr>JAN_F</vt:lpstr>
      <vt:lpstr>JAN_I</vt:lpstr>
      <vt:lpstr>JUL_F</vt:lpstr>
      <vt:lpstr>JUL_I</vt:lpstr>
      <vt:lpstr>JUN_F</vt:lpstr>
      <vt:lpstr>JUN_I</vt:lpstr>
      <vt:lpstr>Lazer</vt:lpstr>
      <vt:lpstr>Lista_Categoria</vt:lpstr>
      <vt:lpstr>Lista_Conta</vt:lpstr>
      <vt:lpstr>MAI_F</vt:lpstr>
      <vt:lpstr>MAI_I</vt:lpstr>
      <vt:lpstr>MAR_F</vt:lpstr>
      <vt:lpstr>MAR_I</vt:lpstr>
      <vt:lpstr>NOV_F</vt:lpstr>
      <vt:lpstr>NOV_I</vt:lpstr>
      <vt:lpstr>Or</vt:lpstr>
      <vt:lpstr>Orç</vt:lpstr>
      <vt:lpstr>OUT_F</vt:lpstr>
      <vt:lpstr>OUT_I</vt:lpstr>
      <vt:lpstr>Pessoais</vt:lpstr>
      <vt:lpstr>Dashboard!Print_Area</vt:lpstr>
      <vt:lpstr>Pro</vt:lpstr>
      <vt:lpstr>rend</vt:lpstr>
      <vt:lpstr>Renda</vt:lpstr>
      <vt:lpstr>Res_All</vt:lpstr>
      <vt:lpstr>Res_Mes</vt:lpstr>
      <vt:lpstr>Reset</vt:lpstr>
      <vt:lpstr>Saúde</vt:lpstr>
      <vt:lpstr>Select_Ano</vt:lpstr>
      <vt:lpstr>SET_F</vt:lpstr>
      <vt:lpstr>SET_I</vt:lpstr>
      <vt:lpstr>SUBCATEGORIA</vt:lpstr>
      <vt:lpstr>Taxas</vt:lpstr>
      <vt:lpstr>Transferência</vt:lpstr>
      <vt:lpstr>Transporte</vt:lpstr>
      <vt:lpstr>VALOR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Galdino</dc:creator>
  <cp:lastModifiedBy>Diego Galdino</cp:lastModifiedBy>
  <cp:lastPrinted>2023-03-25T12:56:35Z</cp:lastPrinted>
  <dcterms:created xsi:type="dcterms:W3CDTF">2023-03-09T08:45:19Z</dcterms:created>
  <dcterms:modified xsi:type="dcterms:W3CDTF">2023-06-05T11:57:51Z</dcterms:modified>
</cp:coreProperties>
</file>